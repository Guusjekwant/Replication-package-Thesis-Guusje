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ll motivations" sheetId="1" r:id="rId5"/>
    <sheet state="hidden" name="Grouped motivations" sheetId="2" r:id="rId6"/>
    <sheet state="visible" name="Current phase long" sheetId="3" r:id="rId7"/>
    <sheet state="visible" name="Current phase short" sheetId="4" r:id="rId8"/>
    <sheet state="visible" name="Motivations long interviews" sheetId="5" r:id="rId9"/>
    <sheet state="visible" name="Motivations short interviews" sheetId="6" r:id="rId10"/>
    <sheet state="visible" name="Use cases long" sheetId="7" r:id="rId11"/>
    <sheet state="visible" name="Use cases short" sheetId="8" r:id="rId12"/>
    <sheet state="visible" name="Factor Prioritization" sheetId="9" r:id="rId13"/>
    <sheet state="visible" name="Environmental factors" sheetId="10" r:id="rId14"/>
    <sheet state="visible" name="Organisational factors" sheetId="11" r:id="rId15"/>
  </sheets>
  <definedNames/>
  <calcPr/>
</workbook>
</file>

<file path=xl/sharedStrings.xml><?xml version="1.0" encoding="utf-8"?>
<sst xmlns="http://schemas.openxmlformats.org/spreadsheetml/2006/main" count="1252" uniqueCount="628">
  <si>
    <t>Motivation</t>
  </si>
  <si>
    <t>Snippet Citation</t>
  </si>
  <si>
    <t>Interview</t>
  </si>
  <si>
    <t>Competition-driven distinction from the market</t>
  </si>
  <si>
    <r>
      <t>''I find it a very good question because it can be competition-driven indeed, because we must be able to distinguish ourselves from the market.''' 1</t>
    </r>
  </si>
  <si>
    <t>Accell</t>
  </si>
  <si>
    <t>First-line support provision</t>
  </si>
  <si>
    <r>
      <t>''The reason why we rolled out an internal agent is to provide first-line support''' 2</t>
    </r>
  </si>
  <si>
    <t>Cost reduction</t>
  </si>
  <si>
    <r>
      <t>''No, okay, costs simply must be reduced''' 3</t>
    </r>
  </si>
  <si>
    <t>Cost cutting</t>
  </si>
  <si>
    <r>
      <t>''Yes, I can be very brief about that: cost cutting.''' 4</t>
    </r>
  </si>
  <si>
    <t>Employee pressure reduction</t>
  </si>
  <si>
    <r>
      <t>''Scaling. Or actually pressure reduction for the employees.''' 5</t>
    </r>
  </si>
  <si>
    <t>Corendon &amp; Beijenkorf (by Gen25)</t>
  </si>
  <si>
    <t>Health and well-being of employees</t>
  </si>
  <si>
    <r>
      <t>''...we just want our employees to have breathing room. We want them to be able to go get a cup of coffee without guilt while they're at work...''' 6</t>
    </r>
  </si>
  <si>
    <t>Faster customer service</t>
  </si>
  <si>
    <r>
      <t>''...ensure that their customers were helped faster.''' 7</t>
    </r>
  </si>
  <si>
    <t>Efficiency and speed in responding</t>
  </si>
  <si>
    <r>
      <t>''...the speed with which we can answer the customers... Efficiency, of course; that is a very important one.''' 8</t>
    </r>
  </si>
  <si>
    <t>Friesland Campina</t>
  </si>
  <si>
    <t>Bottleneck identification in partner experience</t>
  </si>
  <si>
    <r>
      <t>''...identify bottlenecks in the partner experience, solve them.''' 9</t>
    </r>
  </si>
  <si>
    <t>Food Delivery Service</t>
  </si>
  <si>
    <t>Growth and revenue generation</t>
  </si>
  <si>
    <r>
      <t>''...they were taken over by a large venture capitalist last year and they naturally also want growth...''' 1</t>
    </r>
    <r>
      <rPr>
        <rFont val="&quot;Helvetica Neue&quot;, Helvetica, Arial, sans-serif"/>
        <color rgb="FF1155CC"/>
        <sz val="11.0"/>
        <u/>
      </rPr>
      <t>0</t>
    </r>
  </si>
  <si>
    <t>Keeping up with competition</t>
  </si>
  <si>
    <r>
      <t>''...if JET doesn't do it, an Uber Eats or a Deliveroo will. And they are doing it too...''' 1</t>
    </r>
    <r>
      <rPr>
        <rFont val="&quot;Helvetica Neue&quot;, Helvetica, Arial, sans-serif"/>
        <color rgb="FF1155CC"/>
        <sz val="11.0"/>
        <u/>
      </rPr>
      <t>1</t>
    </r>
  </si>
  <si>
    <t>Quality improvement over cost savings</t>
  </si>
  <si>
    <r>
      <t>''The motivation is not cost savings, but quality improvement...''' 1</t>
    </r>
    <r>
      <rPr>
        <rFont val="&quot;Helvetica Neue&quot;, Helvetica, Arial, sans-serif"/>
        <color rgb="FF1155CC"/>
        <sz val="11.0"/>
        <u/>
      </rPr>
      <t>2</t>
    </r>
  </si>
  <si>
    <t>Summary Kindergarden</t>
  </si>
  <si>
    <t>Increased efficiency and professionalism</t>
  </si>
  <si>
    <r>
      <t>''Support to increase the quality and professionalism of the people.''' 1</t>
    </r>
    <r>
      <rPr>
        <rFont val="&quot;Helvetica Neue&quot;, Helvetica, Arial, sans-serif"/>
        <color rgb="FF1155CC"/>
        <sz val="11.0"/>
        <u/>
      </rPr>
      <t>3</t>
    </r>
  </si>
  <si>
    <t>Lely</t>
  </si>
  <si>
    <t>Reducing errors and improving time-to-market</t>
  </si>
  <si>
    <r>
      <t>''...if I do that, I reduce errors, I can complete the process faster...''' 1</t>
    </r>
    <r>
      <rPr>
        <rFont val="&quot;Helvetica Neue&quot;, Helvetica, Arial, sans-serif"/>
        <color rgb="FF1155CC"/>
        <sz val="11.0"/>
        <u/>
      </rPr>
      <t>4</t>
    </r>
  </si>
  <si>
    <t>Talpa Networks (by Spire)</t>
  </si>
  <si>
    <t>WeHeat</t>
  </si>
  <si>
    <t>Work relief for employees</t>
  </si>
  <si>
    <r>
      <t>''Mainly automation of repetitive tasks to free up space for the employees for other matters.''' 1</t>
    </r>
    <r>
      <rPr>
        <rFont val="&quot;Helvetica Neue&quot;, Helvetica, Arial, sans-serif"/>
        <color rgb="FF1155CC"/>
        <sz val="11.0"/>
        <u/>
      </rPr>
      <t>5</t>
    </r>
  </si>
  <si>
    <t>Multinational in FMCG</t>
  </si>
  <si>
    <t>Shutel</t>
  </si>
  <si>
    <t>Growth alongside efficiency and quality</t>
  </si>
  <si>
    <r>
      <t>''...it's mainly about the companies also seeing what the possibilities are in the broader context is it growth, a bit of quality assurance or a bit of efficiency...''' 1</t>
    </r>
    <r>
      <rPr>
        <rFont val="&quot;Helvetica Neue&quot;, Helvetica, Arial, sans-serif"/>
        <color rgb="FF1155CC"/>
        <sz val="11.0"/>
        <u/>
      </rPr>
      <t>6</t>
    </r>
  </si>
  <si>
    <t>VDL</t>
  </si>
  <si>
    <t>Merlijn groep</t>
  </si>
  <si>
    <t>Keeping up with AI trends</t>
  </si>
  <si>
    <r>
      <t>''...keeping up with the AI race and, yeah, increase efficiency with these agents.''' 1</t>
    </r>
    <r>
      <rPr>
        <rFont val="&quot;Helvetica Neue&quot;, Helvetica, Arial, sans-serif"/>
        <color rgb="FF1155CC"/>
        <sz val="11.0"/>
        <u/>
      </rPr>
      <t>7</t>
    </r>
  </si>
  <si>
    <t>reMarkable</t>
  </si>
  <si>
    <t>ContentSquare</t>
  </si>
  <si>
    <t>Speed and convenience</t>
  </si>
  <si>
    <r>
      <t>''...it provides speed and convenience.''' 1</t>
    </r>
    <r>
      <rPr>
        <rFont val="&quot;Helvetica Neue&quot;, Helvetica, Arial, sans-serif"/>
        <color rgb="FF1155CC"/>
        <sz val="11.0"/>
        <u/>
      </rPr>
      <t>8</t>
    </r>
  </si>
  <si>
    <t>FinancialLease</t>
  </si>
  <si>
    <t>Catawiki</t>
  </si>
  <si>
    <t>Emphasis on user-friendliness</t>
  </si>
  <si>
    <r>
      <t>''I think user-friendliness is very important.''' 1</t>
    </r>
  </si>
  <si>
    <t>Damen Shipyards</t>
  </si>
  <si>
    <t>Importance of data readiness</t>
  </si>
  <si>
    <r>
      <t>''If your data isn't in order, then that AI agent will never work well for you.''' 2</t>
    </r>
  </si>
  <si>
    <t>BSL Media &amp; Learning</t>
  </si>
  <si>
    <t>Integration of different platforms</t>
  </si>
  <si>
    <r>
      <t>''So if you want to do it well then you must look across our different platforms in an enterprise.''' 3</t>
    </r>
  </si>
  <si>
    <t>Booking</t>
  </si>
  <si>
    <t>Support for employees to enable AI adoption</t>
  </si>
  <si>
    <r>
      <t>''...we also want to deploy that internally in the first instance...''' 4</t>
    </r>
  </si>
  <si>
    <t>Compliance and regulatory considerations</t>
  </si>
  <si>
    <r>
      <t>''...if AI doesn’t comply with regulations, it’s a failure.''' 5</t>
    </r>
  </si>
  <si>
    <t>Need for good governance in AI use</t>
  </si>
  <si>
    <r>
      <t>''How can we use this in the right way so that we have the right governance?''' 6</t>
    </r>
  </si>
  <si>
    <t>Need for effective communication and updates</t>
  </si>
  <si>
    <r>
      <t>''We don't really have a communication platform for updates...''' 7</t>
    </r>
  </si>
  <si>
    <t>Need for clear vision in AI implementation</t>
  </si>
  <si>
    <r>
      <t>''You must have a clear vision of what exactly I want instead of just blindly following a hype that AI is.''' 8</t>
    </r>
  </si>
  <si>
    <t>Learning and adaptation through testing</t>
  </si>
  <si>
    <r>
      <t>''...testing those scenarios, that is... it isn’t black and white.''' 9</t>
    </r>
  </si>
  <si>
    <t>Improvement in service quality</t>
  </si>
  <si>
    <r>
      <t>''I see many good use cases for Corporate Affairs, but yes, then we have to get happy people, happy users, of course.''' 1</t>
    </r>
    <r>
      <rPr>
        <rFont val="&quot;Helvetica Neue&quot;, Helvetica, Arial, sans-serif"/>
        <color rgb="FF1155CC"/>
        <sz val="11.0"/>
        <u/>
      </rPr>
      <t>0</t>
    </r>
  </si>
  <si>
    <t>Need for user engagement</t>
  </si>
  <si>
    <r>
      <t>''...you have the somewhat let's say reserved directors who find it all difficult and tense.''' 1</t>
    </r>
    <r>
      <rPr>
        <rFont val="&quot;Helvetica Neue&quot;, Helvetica, Arial, sans-serif"/>
        <color rgb="FF1155CC"/>
        <sz val="11.0"/>
        <u/>
      </rPr>
      <t>1</t>
    </r>
  </si>
  <si>
    <t>Enthusiasm for technology adoption</t>
  </si>
  <si>
    <r>
      <t>''We are enthusiastic, we just don't have the money. No, that's a shame.''' 1</t>
    </r>
    <r>
      <rPr>
        <rFont val="&quot;Helvetica Neue&quot;, Helvetica, Arial, sans-serif"/>
        <color rgb="FF1155CC"/>
        <sz val="11.0"/>
        <u/>
      </rPr>
      <t>2</t>
    </r>
  </si>
  <si>
    <t>Merlijn Group</t>
  </si>
  <si>
    <t>Strategic partnership appeal due to consumption-based model</t>
  </si>
  <si>
    <r>
      <t>''...they become more of a strategic partner than a traditional seller...''' 1</t>
    </r>
    <r>
      <rPr>
        <rFont val="&quot;Helvetica Neue&quot;, Helvetica, Arial, sans-serif"/>
        <color rgb="FF1155CC"/>
        <sz val="11.0"/>
        <u/>
      </rPr>
      <t>3</t>
    </r>
  </si>
  <si>
    <t>Grouped Motivation Category</t>
  </si>
  <si>
    <t>Specific Motivation Mentioned</t>
  </si>
  <si>
    <t>Competitive Pressure &amp; Strategic Positioning</t>
  </si>
  <si>
    <t>“I find it a very good question because it can be competition-driven indeed, because we must be able to distinguish ourselves from the market.”</t>
  </si>
  <si>
    <t>“...if JET doesn't do it, an Uber Eats or a Deliveroo will. And they are doing it too...”</t>
  </si>
  <si>
    <t>“...keeping up with the AI race and, yeah, increase efficiency with these agents.”</t>
  </si>
  <si>
    <t>“...they become more of a strategic partner than a traditional seller...”</t>
  </si>
  <si>
    <t>Cost Reduction &amp; Operational Efficiency</t>
  </si>
  <si>
    <t>“No, okay, costs simply must be reduced.”</t>
  </si>
  <si>
    <t>“Yes, I can be very brief about that: cost cutting.”</t>
  </si>
  <si>
    <t>“...the speed with which we can answer the customers... Efficiency, of course; that is a very important one.”</t>
  </si>
  <si>
    <t>“...if I do that, I reduce errors, I can complete the process faster...”</t>
  </si>
  <si>
    <t>“...it's mainly about the companies also seeing what the possibilities are in the broader context is it growth, a bit of quality assurance or a bit of efficiency...”</t>
  </si>
  <si>
    <t>“...it provides speed and convenience.”</t>
  </si>
  <si>
    <t>Employee Support &amp; Well-being</t>
  </si>
  <si>
    <t>“Scaling. Or actually pressure reduction for the employees.”</t>
  </si>
  <si>
    <t>“...we just want our employees to have breathing room. We want them to be able to go get a cup of coffee without guilt while they're at work...”</t>
  </si>
  <si>
    <t>“Mainly automation of repetitive tasks to free up space for the employees for other matters.”</t>
  </si>
  <si>
    <t>“...we also want to deploy that internally in the first instance...”</t>
  </si>
  <si>
    <t>Customer Service &amp; Experience Improvement</t>
  </si>
  <si>
    <t>“The reason why we rolled out an internal agent is to provide first-line support.”</t>
  </si>
  <si>
    <t>“...ensure that their customers were helped faster.”</t>
  </si>
  <si>
    <t>“...identify bottlenecks in the partner experience, solve them.”</t>
  </si>
  <si>
    <t>“I see many good use cases for Corporate Affairs, but yes, then we have to get happy people, happy users, of course.”</t>
  </si>
  <si>
    <t>Quality Improvement &amp; Professionalization</t>
  </si>
  <si>
    <t>“The motivation is not cost savings, but quality improvement...”</t>
  </si>
  <si>
    <t>“Support to increase the quality and professionalism of the people.”</t>
  </si>
  <si>
    <t>Growth &amp; Business Performance</t>
  </si>
  <si>
    <t>“...they were taken over by a large venture capitalist last year and they naturally also want growth...”</t>
  </si>
  <si>
    <t>Technology Readiness &amp; Integration</t>
  </si>
  <si>
    <t>“I think user-friendliness is very important.”</t>
  </si>
  <si>
    <t>“If your data isn't in order, then that AI agent will never work well for you.”</t>
  </si>
  <si>
    <t>“So if you want to do it well then you must look across our different platforms in an enterprise.”</t>
  </si>
  <si>
    <t>“...testing those scenarios, that is... it isn’t black and white.”</t>
  </si>
  <si>
    <t>Governance, Compliance &amp; Strategic Alignment</t>
  </si>
  <si>
    <t>“...if AI doesn’t comply with regulations, it’s a failure.”</t>
  </si>
  <si>
    <t>“How can we use this in the right way so that we have the right governance?”</t>
  </si>
  <si>
    <t>“You must have a clear vision of what exactly I want instead of just blindly following a hype that AI is.”</t>
  </si>
  <si>
    <t>Change Management &amp; Organizational Readiness</t>
  </si>
  <si>
    <t>“We don't really have a communication platform for updates...”</t>
  </si>
  <si>
    <t>“...you have the somewhat let's say reserved directors who find it all difficult and tense.”</t>
  </si>
  <si>
    <t>“We are enthusiastic, we just don't have the money. No, that's a shame.”</t>
  </si>
  <si>
    <t>Shuttel</t>
  </si>
  <si>
    <t>Phase</t>
  </si>
  <si>
    <t>Snippet</t>
  </si>
  <si>
    <t>Exploration</t>
  </si>
  <si>
    <t>And at the same time, but perhaps that's going a bit too far already, at the same time IT-wide they are of course looking at: yes, where are we going to place which capabilities? So if we have to vectorize files, yes, we prefer to do that only once so that everyone can make use of it. So where are we going to do that then so to speak? What will be the platform on which we are going to do that? And if we are going to build agents, is one platform needed for that or can you also just do that on several?</t>
  </si>
  <si>
    <t>Implementation (Go-live)</t>
  </si>
  <si>
    <t>Current situation at Damen: you are there are many AI initiatives, many are already really live, looked at the Salesforce matters, that is in a very far stage of the pilot phase. There are specific use cases that yes where value is seen in and yes thus there is much attention/motivation for. The employees are also in themselves well on board to put it that way, but that is remains an important factor to continue educating those yes how you best use it and what the value is going to be. Technological factors that I have heard is that the technology is good, but the output can sometimes still be variable, so there yes there is sometimes still what of the what to be desired.</t>
  </si>
  <si>
    <t>Experimentation (Pilot)</t>
  </si>
  <si>
    <t>No, that is still in testing phase. So yes, within now and a month yes, we are going to, so to speak, find some test users from different business units and then test from their role: yes, do you get the data out that you are looking for or what are the prompts that you would want to perform and... so that is really still very early stage.</t>
  </si>
  <si>
    <t>So I would say that we are still in the experimental phase, but in a more pilot phase in which we really want to let a group within services make use of the tool in production.</t>
  </si>
  <si>
    <t>Yes, so for me we are still in the experimental phase because it's not an end-state architecture yet.</t>
  </si>
  <si>
    <t>for me there is really a difference between we are going to experiment and we are going to roll out something enterprise ready. And yes, if you need one and a half, two years to define your enterprise ready end-state, yes, then I'm not going to wait one and a half, two years to experiment.</t>
  </si>
  <si>
    <t>I think we made a choice at fairly short notice to co-create with Salesforce once in a sort of pressure cooker hackathon-style, right? Just a week with people from Salesforce, people from Damen, both on</t>
  </si>
  <si>
    <t>Yes, so that is really an initiative that stands completely separate from all other AI initiatives. I do see that there are comparable initiatives for the use cases on other platforms too. So we are now still in a phase in which basically everyone is experimenting on their own platform: what is possible, what is the result, what does that do in token consumption and license structure. Just trying to understand properly how it all fits together.</t>
  </si>
  <si>
    <t>Okay, so if you look at Salesforce specifically, then we are actually still in the pilot phase in which we are now busy pushing it to production. So we have another progress meeting about that tomorrow. There I hope to get a 'go' from the people involved so that we can now also give access to people in production so to speak. So we still have to load the data, but then we have at least a first... that would then be the first time that we let people make use of an AI agent on a production environment. So that would be a nice step.</t>
  </si>
  <si>
    <t>we are first going to look a bit at procurement and logistics, those are basically the first roles we want to tackle so to speak.</t>
  </si>
  <si>
    <t>it is all still early stage and that is going to expand each time to different roles</t>
  </si>
  <si>
    <t>Yes, that is already extensively in production (co-pilot)</t>
  </si>
  <si>
    <t>Well, we are actually looking at which AI tools yes, we want here within Damen or are going to focus on. And then looking at the most users. So well, most users sit or work with Office. So we started with Copilot, that is basically the main big chatbot or AI we have. After that the number of SAP users, so SAP also gets an AI tool, called Joule. We are going to integrate that. Well, Salesforce of course then. And that's how we try to move, so to speak, from most users to fewest users.</t>
  </si>
  <si>
    <t>Yes, so that is really an initiative that stands completely separate from all other AI initiatives. I do see that there are comparable initiatives for the use cases on other platforms too. So we are now still in a phase in which basically everyone is experimenting on their own platform: what is possible, what is the result, what does that do in token consumption and license structure. Just trying to understand properly how it all fits together</t>
  </si>
  <si>
    <t>But anyway yes, it is all still early stage and that is going to expand each time to different roles, but yes, who knows we might tackle services as well, but it's basically just purely on data that you have in SAP of course, so I don't dare say whether it's competition with Salesforce or such.</t>
  </si>
  <si>
    <t>Okay. And they are live with an agent? Interviewee: Yes they do, they are. They have employee agent and also service agent or the customer facing agent.</t>
  </si>
  <si>
    <t>They have finished it and that was I think, let me say it correctly, I think half a year ago, maybe even a bit longer, that we finished it, put it live and is now accessible for the customer daily. And that is done regularly. And with that, the first iteration we did is finished. We see potential for more, but they themselves are still somewhat hesitant in putting more time and money into further development.</t>
  </si>
  <si>
    <t>Shuttel (by Nextview)</t>
  </si>
  <si>
    <t>They have the agent live on their support page, so this agent is customer-facing. And it stayed at that for now. For them it is also finished for the time being, although we do see that there is still potential.</t>
  </si>
  <si>
    <t>They can already make their own agents themselves now via Copilot. So they can do that piece.</t>
  </si>
  <si>
    <t>Yes, we are currently doing several use cases. So if you look within VDL we have already done some trial balloons with AI, a bit of agentic AI, different technologies. So last year to also involve the companies in what is possible we also did a real demo with you. That went well.</t>
  </si>
  <si>
    <t>That is because they thought: I have a good deal and I think I will use it, so let me take it now. We have told them on our side what is needed to get that implemented. They have indeed bought the licenses, but nothing is being done with them.</t>
  </si>
  <si>
    <t>But a real strategy regarding AI I have not yet seen.</t>
  </si>
  <si>
    <t>They see the benefits of it and in that sense they also embrace it</t>
  </si>
  <si>
    <t>Both employees and service agents. We had the newest addition is an internal agent for our customer support agents, which lives inside the Salesforce environment. But we also have different agents integrated with Slack. So we have one IT agent, one legal agent, HR agent... Interviewee 2: ...and data and integrated and analytics agent.</t>
  </si>
  <si>
    <t>Optimization &amp; Scaling</t>
  </si>
  <si>
    <t>Yeah, we've introduced different agents but the first one I talked about was the external agent that has probably used most time of that one. But we also have four or five other internal agents for both Slack and Salesforce.</t>
  </si>
  <si>
    <t>Well, I would say we introduced the Agentforce in late 2024. And I would say 2025 was about to kind of create stable agents, fixing bugs, making it more, yeah, create some more, how do you say it, create a more predictable agent, which you kind of can track and yeah. So the whole year went to kind of, we introduced new capabilities but there was a lot of uncertainty as well. So late 2025, we introduced capabilities where we could retrieve personal data from the customer, which is done by authorizing the customer by email. And after introducing that we see that we can do a lot more with this personal data. So now we're in the kind of expandable step where we introduce more capabilities, not only make the agent stable but also improve the capabilities. Interviewee 2: And maybe we can add that we have internal agents as well. So we have several agents, not only one.</t>
  </si>
  <si>
    <t>Respondent: Definitely pilot. Definitely pilot, yes</t>
  </si>
  <si>
    <t>You see that many people are switching privately with ChatGPT. We naturally try to keep that separate with Copilot, which we do within Lely. So we have Copilot, ChatGPT, then we have AI Farmer, and we also have Einstein Activity Capture, which we are developing from Salesforce.</t>
  </si>
  <si>
    <t>Lely: It is still not live. But we are now in an advanced stage because we have developed a number of prompts that allow a salesperson to initially call up different types of farmers, where the sales process—as we have designed it—runs parallel to that. So that is just the advisory sales process, which still needs to be developed; we are still working on it, ensuring we have all the propositions in there. And there is still a discussion about whether we have built certain cultural differences into it.</t>
  </si>
  <si>
    <t>Lely: Well, we are starting out. I think we are finishing the research phase. Of course, we are still researching a lot for future solutions. But you can see now that the first initiatives are being taken to let AI take place.</t>
  </si>
  <si>
    <t>The use cases are there at the moment. There are five people who have started working with the first agent, but the results are actually not good. The agent doesn't give the correct answers and not fast enough.</t>
  </si>
  <si>
    <t>Yes, definitely. Copilot is naturally linked to Microsoft apps and you can do a lot with it if you have the license. Yes, so that is being used more and more.</t>
  </si>
  <si>
    <t>Well, look, we started developing phase 1 in October/November; it went live somewhere in mid-December. Yes, from that we see now that it hasn't had the desired results yet. And it is a sub-project, that's how you can see it. We are still very much pioneering, really, to see what Agentforce can mean for the organization in combination with Salesforce, of course.</t>
  </si>
  <si>
    <t>Interviewee: We do have a partner now, Nextview, who is going to guide us through phase 2, including the implementation of phase 2. We spoke to them last week—yes, there is quite a bit of what is likely low-hanging fruit for us, really, to see if we can adjust those prompts. So, we have a two-hour session this week to see if we see an improvement there.</t>
  </si>
  <si>
    <t>Well, it’s all about Case Management, of course. Phase 1 is that the virtual agent scans the case, sets the case category, writes the summary, and essentially prepares an email. Phase 2 is really about inbound telephony. Where the agent actively listens, transcribes, also makes summaries, creates case categories, and can provide the front-office agent with answer suggestions in real-time.</t>
  </si>
  <si>
    <t>We started small with a pilot, seeing if those ideas work. Three agents started. But one way we want to upscale is the whole sales lifecycle. That is a way of scaling. So in that sense we are small, but within the domain we are in now on Partner Success with opening hours and some other propositions that we can already sell agentically, yes, we are no longer small in that proposition.</t>
  </si>
  <si>
    <t>They started around last summer with actually writing a white paper, a vision of what is... because in terms of context, we are in the Global Sales Strategy &amp; Operations organization. So they are worldwide responsible for sales strategy and sales operations. They are completely standardized on Salesforce in 17 different markets. So those all use Salesforce in the same way. Sales lifecycle from leads and acquisition to onboarding to partner success, that is all thought out and worked out. So actually they want to agentify that whole lifecycle.</t>
  </si>
  <si>
    <t>Interviewee: Yes, well, we started using Agentforce for service six months ago; that was still based on the old platform. What our agent effectively does is, well, help customers with first-line support questions. We are a managed service provider, so we provide services to SMEs: telecom, IT, connectivity. Yes, we are a strategic partner of KPN. And we do that under the SME brand, so we have a lot of customers we serve with a relatively small team of 25 people. We do that because we are highly automated. We actually have all our processes running on Salesforce. Our public website too—that is the customer portal, Salesforce Experience Site—and customers can already do a lot themselves there. So we actually had a lot of tooling present already with API connections to our suppliers, essentially complete.
What we effectively did was unlock those processes with an Agentforce agent. So the same things we already had in place for our internal help: sim swaps, requesting PUK codes, doing a Radius check on your internet connection. Yes, we actually had all of that in place already through those API calls and engines. And now the agent simply does that in a conversation with the customer. And the customer experiences it as if they are simply in contact with customer service or support. And that is going really well.</t>
  </si>
  <si>
    <t>CloudÉen</t>
  </si>
  <si>
    <t>f I would say, if you look at everything that is possible with the technology, they are really still in a beginning phase, but they are already live and they are already out there. Yes, so the first step has been taken and now it's about looking at how to move forward. Actually, even the second step has already been taken, yes.</t>
  </si>
  <si>
    <t>Corendon (by Gen25)</t>
  </si>
  <si>
    <t>Interviewee: And then they are really in that scaling phase. They went live, I think half a year ago, with an agent that actually only does FAQ. So they already had a rather large public knowledge base in Salesforce. We linked those to Coco, so it could give answers about where you had to change seat reservations, whether you could take extra luggage...</t>
  </si>
  <si>
    <t>We now have results of a 90% accuracy based on all the bikes we sell and historical bikes, plus all FAQ questions and user manuals that we process using Data Cloud.</t>
  </si>
  <si>
    <t>In its infancy, I think. I think we have taken the first steps. We do do some things with AI internally, but that is more per department actually. That is not rolled out for the whole organization. What we are doing now with the internal agent is also not for the whole organization, but mainly for support, but that does relate to our core processes. So yes, I would say: really in the infancy.</t>
  </si>
  <si>
    <t>The external ones. The internal one is already live. It has been live for about a month now.</t>
  </si>
  <si>
    <t>the external agent that goes live next week for five different Accell brands. And next month, four more brands will be launched live for the websites, we call that an AI chatbot.</t>
  </si>
  <si>
    <t>We have been busy during the past period with basically two AI projects: the internal agent, which they call "Agentic AI" within Salesforce, or the "Employee Agent," and the external agent that goes live next week for five different Accell brands. And next month, four more brands will be launched live for the websites, we call that an AI chatbot.</t>
  </si>
  <si>
    <t>Organisation</t>
  </si>
  <si>
    <t>Dominant Phase(s)</t>
  </si>
  <si>
    <t>Summary of findings</t>
  </si>
  <si>
    <t>Snippets</t>
  </si>
  <si>
    <t>Exploration + Experimentation (Pilot) + some early Implementation</t>
  </si>
  <si>
    <t>Damen appears to be in a broad transitional AI phase. Multiple AI initiatives are running simultaneously, but the organization is still determining architectural direction, platform strategy, and governance structures. Several pilots are already close to production, especially within Salesforce-related service processes. Employees are generally receptive, though concerns remain regarding output consistency and long-term scalability.</t>
  </si>
  <si>
    <t>Implementation (go-live)</t>
  </si>
  <si>
    <t>AI is already operational within customer service processes. The focus appears less on experimentation and more on direct operational support and efficiency improvements.</t>
  </si>
  <si>
    <t>AI functionalities have moved beyond testing and are actively embedded into operational workflows. The emphasis is on practical day-to-day usage by employees.</t>
  </si>
  <si>
    <t>Implementation + Experimentation</t>
  </si>
  <si>
    <t>VDL demonstrates a mixed maturity level: some AI capabilities are already integrated into operations, while additional functionalities are still being validated through pilots before broader rollout.</t>
  </si>
  <si>
    <t>Talpa Networks is still in an orientation phase regarding AI adoption. Discussions primarily focus on identifying relevant use cases and understanding the strategic value of AI before concrete implementation decisions are made.</t>
  </si>
  <si>
    <t>Implementation + Optimization &amp; Scaling</t>
  </si>
  <si>
    <t>reMarkable appears to be relatively advanced in its AI journey. AI has already been operationalized internally, and the organization is now focused on scaling adoption and improving existing AI capabilities across teams.</t>
  </si>
  <si>
    <t>The organization is still validating the business value of AI initiatives before broader deployment decisions are made. The emphasis is on ROI and feasibility testing.</t>
  </si>
  <si>
    <t>Exploration + Experimentation</t>
  </si>
  <si>
    <t>Lely is actively exploring AI opportunities while simultaneously running several small-scale pilots. The organization seems to be balancing strategic orientation with practical experimentation.</t>
  </si>
  <si>
    <t>Experimentation + Implementation + Optimization &amp; Scaling</t>
  </si>
  <si>
    <t>FrieslandCampina demonstrates a hybrid maturity structure where AI is already operational in some domains, while other initiatives remain in pilot stages. At the same time, the organization is beginning to focus on broader scaling and optimization of successful initiatives.</t>
  </si>
  <si>
    <t>Exploration + Optimization &amp; Scaling</t>
  </si>
  <si>
    <t>The organization shows a dual structure: some AI initiatives are already mature and widely used, while other business areas are still exploring potential applications. This suggests uneven AI maturity across departments.</t>
  </si>
  <si>
    <t>CloudÉen appears highly mature in its AI adoption journey. AI is already broadly embedded, and the primary focus has shifted toward scaling and maximizing organizational adoption.</t>
  </si>
  <si>
    <t>Corendon has already operationalized AI capabilities and is now focusing on broader organizational adoption and increasing usage intensity.</t>
  </si>
  <si>
    <t>Exploration + Implementation + Optimization &amp; Scaling</t>
  </si>
  <si>
    <t>Accell demonstrates significant variation in AI maturity across initiatives. While some AI applications are still in an exploratory stage, others are already operational or entering optimization phases. This indicates decentralized or department-specific AI adoption trajectories.</t>
  </si>
  <si>
    <t>Sting</t>
  </si>
  <si>
    <t>We are mainly focused on robotization right now, as a precursor to AI. We are working on some small things, but it is not really serious yet.</t>
  </si>
  <si>
    <t>Lease</t>
  </si>
  <si>
    <t>We are doing some things with AI, but we are using the tooling from our parent company for that.</t>
  </si>
  <si>
    <t>Respondent 1: Yes, this is actually our first trip, getting into it now. We are mainly looking: what is out there? We just talked about it, we saw examples here. And then the question is: how does this work for the processes we have and what could we use it for? And then the question: what will it cost? We are about there now</t>
  </si>
  <si>
    <t>Merlijn Groep</t>
  </si>
  <si>
    <t>On the other hand, in terms of software development, how we use AI internally, which is somewhat separate from Salesforce, we are truly groundbreaking. We work a lot with Visual Studio Code, Claude is integrated into it, we build with it, it is connected to our repo and our Jira. So it helps us with solution directions.</t>
  </si>
  <si>
    <t>Not for our customers or end consumers themselves. Yes, we do have an AI that we use regularly, OCR for example, document extraction. But that is not part of Salesforce.</t>
  </si>
  <si>
    <t>We are still in a very early phase. In our company, they say: "We were a SaaS company, now we are a data company, and we are in the transition to becoming an AI company."</t>
  </si>
  <si>
    <t>Respondent: Currently, we are in the adoption phase. We cannot call ourselves a full AI company yet, but we are trying to get there. Certain features that customers previously tried to navigate manually, we have introduced functions for where you can provide a prompt and the agents help you build those features using AI. And there are also certain functions that we are trying to automate through agents. Also in the area of quality, we are trying to introduce things such as writing test cases via AI or having your code reviewed by AI.</t>
  </si>
  <si>
    <t>We use Cloud a lot, Cloud-code AI agent, but only for the platform of the Catawiki website. So not that much, but it is for developers. I work in the internal systems at Catawiki. I use Rovo, we use Jira Service Management. I use Rovo a lot for the service desk ticket system and so on. But it is only for me personally, only for me. It is an experiment to see if it is good for the organization's AI or not.</t>
  </si>
  <si>
    <t>Actually getting started with Sales Cloud and from there we try to see: what else fits us? What can't we do ourselves, where do we need Salesforce for further development?</t>
  </si>
  <si>
    <t>They have already been working on Microsoft Copilot 365 for nine months, so that is a bit the level of it. And also every purchase of software we make is fine in itself, but if there is an AI component in it, all the alarm bells go off and we have to go through a whole process.</t>
  </si>
  <si>
    <t>Yes, we are of course a publisher, so we have a lot of content and our content is valuable, so we try to sell that. From the headquarters, Springer Nature—publicly traded worldwide with 10,000 people—it is quite difficult in terms of compliance. So we get very little green light for implementing AI.</t>
  </si>
  <si>
    <t>If you move more towards AI in terms of agents, we are not really leading there yet and I think we certainly have challenges there to...</t>
  </si>
  <si>
    <t>Booking.com</t>
  </si>
  <si>
    <t>I think if you look at more traditional AI, such as machine learning, I think Booking is already quite mature there, because we have our own tooling and platform so that we can build machine learning.</t>
  </si>
  <si>
    <t>Conclusion table</t>
  </si>
  <si>
    <t>Quality improvement / professionalism</t>
  </si>
  <si>
    <t>The motivation is not cost savings, but quality improvement. The goal is a uniform, professional, and especially "warm" tone-of-voice in communication. Everyone currently still writes in their own way.</t>
  </si>
  <si>
    <t>Kindergarden</t>
  </si>
  <si>
    <t>Efficiency / customer service improvement</t>
  </si>
  <si>
    <t>Yeah they wanted to speed up the process of finding the resolution for the questions of the customers basically. And the second because they are using network of installers, like people who actually go inside the houses and install the the pump, it's like a third party. And also they have a lot of questions, service questions. So they also wanted to deploy an agent to some kind of portal they can use to ask questions. Let's say I'm at a at a client and I see this technical error on the device, I don't know what it means. So he put the number of the error to the webchat and he will give him answer what it means, for example. So also case deflection and reduction of the case handling time.</t>
  </si>
  <si>
    <t>WeHeat (by Enehano)</t>
  </si>
  <si>
    <t>External vendor stimulation / experimentation</t>
  </si>
  <si>
    <t>Gert Jan: I think they mainly had the incentive from Salesforce. When that started, also already I think almost a year or maybe longer than a year ago, they gave customers where they saw potential "Well you know, there is some perspective here", they gave them some space to develop for little or for nothing. And they ultimately made eager use of that with help from us. And yes, when that was finished, they didn't immediately see the necessity to develop that further</t>
  </si>
  <si>
    <t>Growth / workload reduction</t>
  </si>
  <si>
    <t>Work relief anyway and it goes I can never think anything of that FTE must be reduced, that should not be your goal. I can naturally never guarantee that if you don't bring in more orders, yet the work indeed becomes less and you must thus spend less work on an order, yes then you have in the long run can continue with fewer FTEs so to speak, if it cannot be otherwise. So that sits very much in therefore I also say the use cases sit here much more on growth than on efficiency</t>
  </si>
  <si>
    <t>Efficiency / quality / growth</t>
  </si>
  <si>
    <t>You have efficiency, quality and growth so to speak.</t>
  </si>
  <si>
    <t>Value creation / efficiency / quality / growth</t>
  </si>
  <si>
    <t>And that was also the use case, so also of hey, what would really provide value for and with what can we quickly achieve our goals? That is not only about efficiency. So it's mainly about the companies also seeing what the possibilities are in the what let's say broader context is it growth, a bit of quality assurance or a bit of efficiency or all three factors, combination of.</t>
  </si>
  <si>
    <t>ROI / efficiency / employee support</t>
  </si>
  <si>
    <t>Yes, there is one, because we made business cases for those things they bought. We simply calculated what they are going to save with them. And that is where that motivation comes from. That is on the human side: making life easier and more pleasant. And on the business and financial side: if I do that, I reduce errors, I can complete the process faster, and as a result, my time-to-market increases.</t>
  </si>
  <si>
    <t>Platform simplification</t>
  </si>
  <si>
    <t>Maybe simplifying the platform is also a factor.</t>
  </si>
  <si>
    <t>Availability / customer support</t>
  </si>
  <si>
    <t>And then also I would say an advantage of an chatbot is availability.</t>
  </si>
  <si>
    <t>Automation of repetitive work</t>
  </si>
  <si>
    <t>I would say that initially, we would want it to go away from iterative work.</t>
  </si>
  <si>
    <t>Capacity scaling / workload reduction</t>
  </si>
  <si>
    <t>We want to kind of release the capacity of the employees, manage larger volume of cases that's coming in.</t>
  </si>
  <si>
    <t>Efficiency / keeping up with AI trends</t>
  </si>
  <si>
    <t>I would say both. And they're kind of related because if the customer agent is solving a lot of cases or deflecting a lot of cases, it's more efficient or makes up more time for the human agents to do their work. So yeah, be more efficient and yeah, be part of this AI race.</t>
  </si>
  <si>
    <t>Competitive pressure / efficiency</t>
  </si>
  <si>
    <t>I would say it's keeping up with the AI race and, yeah, increase efficiency with these agents.</t>
  </si>
  <si>
    <t>Automation / workload reduction</t>
  </si>
  <si>
    <t>Mainly automation of repetitive tasks to free up space for the employees for other matters.</t>
  </si>
  <si>
    <t>Quality improvement / knowledge support</t>
  </si>
  <si>
    <t>Support to increase the quality and professionalism of the people. I also think a lot of reference work, like an encyclopedia</t>
  </si>
  <si>
    <t>Efficiency</t>
  </si>
  <si>
    <t>Efficiency / response speed</t>
  </si>
  <si>
    <t>Is that the only business case, so to speak—to bring the FTE down? No, but also the speed with which we can answer the customers, or the dairy farmers, I should say. Efficiency, of course; that is a very important one.</t>
  </si>
  <si>
    <t>Partner experience improvement</t>
  </si>
  <si>
    <t>Well, now they are also going to look: how can we make the partner experience agentic? So those people are also involved in the program to identify bottlenecks in the partner experience, solve them.</t>
  </si>
  <si>
    <t>Scalability / partner support</t>
  </si>
  <si>
    <t>Third is if you just look at how their business model works, I already outlined it a bit: they have maybe 700,000 restaurants on a platform. They never have the manpower to serve all those 700,000 people. That just won't work. So by doing things agentically, they can also serve many more partners in the whole lifecycle, which eventually naturally should yield much more return for partners, but eventually naturally also for JET. They actually see that if you look at the partner lifecycle, they actually see bottlenecks in all phases of the partner lifecycle where agentic can be a solution</t>
  </si>
  <si>
    <t>Growth / investor pressure</t>
  </si>
  <si>
    <t>So they also just aren't really growing. So they also have to look for growth again. They were taken over by a large venture capitalist last year and they naturally also want growth, because they want to achieve returns. That is the second argument</t>
  </si>
  <si>
    <t>Competitive pressure / keeping up</t>
  </si>
  <si>
    <t>There are a few factors. Look, first and foremost: everyone is doing it. So that is already important. And what you also have to realize: JET, even though the company has existed for 20 years, it is of course in fact a digital marketplace. It is a tech company. You know how the tech industry works, the competition is cutthroat. So if JET doesn't do it, an Uber Eats or a Deliveroo will. And they are doing it too. So it's a matter of keeping up</t>
  </si>
  <si>
    <t>Scalability / serving long-tail customers</t>
  </si>
  <si>
    <t>So yes, look, to make it as simple as possible: they have 350,000 or 700,000 partners worldwide. They do not have the capacity to go into conversation with all those partners every day, all day long. 90% of those partners are actually too small to deserve daily or weekly or monthly attention. So they are now actually looking at how we can actually serve a whole long-tail of partners with agent capabilities.</t>
  </si>
  <si>
    <t>Co-innovation / experimentation</t>
  </si>
  <si>
    <t>Cost reduction / employee wellbeing</t>
  </si>
  <si>
    <t>We are now with a customer who has literally as a goal to take 10% of the people away while Corendon says: "we just want our employees to have breathing room. We want them to be able to go get a cup of coffee without guilt while they're at work" so to speak. Boat Bike Tours stood in it like that too. Yes health insurer or Mensis too they they say: "yes we just want to spend four or eight tons per year less on people."</t>
  </si>
  <si>
    <t>Workload reduction / customer experience</t>
  </si>
  <si>
    <t>Interviewer: Okay. And was that a big problem? Was it difficult to get employees, or was there simply too much work for the employees or? Interviewee: A combination of both. Yes, because they are a travel agency, they are very seasonal. So they really have seasonal peaks. And occasionally they had—yes, then they start work at 8 o'clock and after 5 minutes the queue is already an hour long. So people are just standing in line for an hour. Yes, nobody gets happy from that. Their employees of course not either, so they had quite high churn among the new people. They wanted to relieve people on the one hand and on the other hand also just ensure that their customers were helped faster.</t>
  </si>
  <si>
    <t>Pressure reduction / scaling</t>
  </si>
  <si>
    <t>Scaling. Or actually pressure reduction for the employees.</t>
  </si>
  <si>
    <t>Okay, so at Corendon, they had at one point—they have a very high pressure on customer service. And therefore, it is a high priority for them to automate these kinds of things. They were already working with Einstein Bots, but that didn't get off the ground. And then they also decided from higher up, so really from C-level: "okay, we are going to give Agentforce a chance now". Yes.</t>
  </si>
  <si>
    <t>Top management pressure / strategic importance</t>
  </si>
  <si>
    <t>On the one hand, you have it from higher up where AI is designated as important. So at companies, it is actually said from C-level: "guys, we have to work with AI, this is the budget, here is a target to deliver at least one thing, for example.</t>
  </si>
  <si>
    <t>Competitive pressure</t>
  </si>
  <si>
    <t>I find it a very good question because it can be competition-driven indeed, because we must be able to distinguish ourselves from the market.</t>
  </si>
  <si>
    <t>First-line support improvement</t>
  </si>
  <si>
    <t>The reason why we rolled out an internal agent is to provide first-line support</t>
  </si>
  <si>
    <t>"No, okay, costs simply must be reduced"</t>
  </si>
  <si>
    <t>Yes, I can be very brief about that: cost cutting.</t>
  </si>
  <si>
    <t>And we do that under the SME brand, so we have a lot of customers we serve with a relatively small team of 25 people. We do that because we are highly automated.</t>
  </si>
  <si>
    <t>Reducing workload</t>
  </si>
  <si>
    <t>So what we do now is... we went live immediately outside of office hours: if you call us, you are redirected to the chat. Everything goes to the chat now. And 80% is already intercepted there.</t>
  </si>
  <si>
    <t>Economic pressure / profitability</t>
  </si>
  <si>
    <t>it’s purely because we are in a model where you just have to work very efficiently to be profitable. It is a low-margin product, certainly telco nowadays. Which means that because we do it so heavily automated, and GenAI just helps with that, you can still remain very lucrative as a company. So in that sense, yes, it’s a must.</t>
  </si>
  <si>
    <t>Overarching Motivation</t>
  </si>
  <si>
    <t>Efficiency, workload reduction, and automation</t>
  </si>
  <si>
    <t>“Yeah they wanted to speed up the process of finding the resolution for the questions of the customers basically... So also case deflection and reduction of the case handling time.”</t>
  </si>
  <si>
    <t>“The use cases sit here much more on growth than on efficiency.”</t>
  </si>
  <si>
    <t>“You have efficiency, quality and growth so to speak.”</t>
  </si>
  <si>
    <t>“That is not only about efficiency... growth, a bit of quality assurance or a bit of efficiency or all three factors.”</t>
  </si>
  <si>
    <t>“I reduce errors, I can complete the process faster, and as a result, my time-to-market increases.”</t>
  </si>
  <si>
    <t>“I would say that initially, we would want it to go away from iterative work.”</t>
  </si>
  <si>
    <t>“We want to kind of release the capacity of the employees, manage larger volume of cases that's coming in.”</t>
  </si>
  <si>
    <t>“...be more efficient...”</t>
  </si>
  <si>
    <t>“Efficiency”</t>
  </si>
  <si>
    <t>“Efficiency, of course; that is a very important one.”</t>
  </si>
  <si>
    <t>“...it is a high priority for them to automate these kinds of things.”</t>
  </si>
  <si>
    <t>“...we are highly automated.”</t>
  </si>
  <si>
    <t>“Everything goes to the chat now. And 80% is already intercepted there.”</t>
  </si>
  <si>
    <t>Growth, scalability, and business expansion</t>
  </si>
  <si>
    <t>“They also have to look for growth again.”</t>
  </si>
  <si>
    <t>“They never have the manpower to serve all those 700,000 people.”</t>
  </si>
  <si>
    <t>“...serve a whole long-tail of partners with agent capabilities.”</t>
  </si>
  <si>
    <t>Quality improvement and professionalism</t>
  </si>
  <si>
    <t>“The motivation is not cost savings, but quality improvement.”</t>
  </si>
  <si>
    <t>“The goal is a uniform, professional, and especially ‘warm’ tone-of-voice in communication.”</t>
  </si>
  <si>
    <t>“...growth, a bit of quality assurance or a bit of efficiency or all three factors.”</t>
  </si>
  <si>
    <t>“I reduce errors...”</t>
  </si>
  <si>
    <t>Cost reduction and economic pressure</t>
  </si>
  <si>
    <t>“...we just want our employees to have breathing room...”</t>
  </si>
  <si>
    <t>“...you just have to work very efficiently to be profitable.”</t>
  </si>
  <si>
    <t>“It is a low-margin product...”</t>
  </si>
  <si>
    <t>Competitive pressure and keeping up with AI trends</t>
  </si>
  <si>
    <t>“...be part of this AI race.”</t>
  </si>
  <si>
    <t>“I would say it's keeping up with the AI race...”</t>
  </si>
  <si>
    <t>“So it's a matter of keeping up.”</t>
  </si>
  <si>
    <t>“...we must be able to distinguish ourselves from the market.”</t>
  </si>
  <si>
    <t>Customer service and customer experience improvement</t>
  </si>
  <si>
    <t>“...they also wanted to deploy an agent to some kind of portal they can use to ask questions.”</t>
  </si>
  <si>
    <t>“An advantage of a chatbot is availability.”</t>
  </si>
  <si>
    <t>Top management support and strategic direction</t>
  </si>
  <si>
    <t>“...from C-level: ‘guys, we have to work with AI’...”</t>
  </si>
  <si>
    <t>External stimulation / co-innovation</t>
  </si>
  <si>
    <t>“They mainly had the incentive from Salesforce...”</t>
  </si>
  <si>
    <t>“...to co-create with Salesforce once in a sort of pressure cooker hackathon-style...”</t>
  </si>
  <si>
    <t>Platform simplification and optimization</t>
  </si>
  <si>
    <t>“Maybe simplifying the platform is also a factor.”</t>
  </si>
  <si>
    <t>Time saving / efficiency</t>
  </si>
  <si>
    <t>Time saving. Yes, that is the main thing.</t>
  </si>
  <si>
    <t>Future vision / reducing workload</t>
  </si>
  <si>
    <t>Respondent 2: Future vision. Making work easier, taking it off our hands.</t>
  </si>
  <si>
    <t>Keeping up with technological developments / innovation</t>
  </si>
  <si>
    <t>Our competition? In that respect no, I think no I don't think so. We did this primarily because it's keeping up with the times of course, but in the right way. And just spotting opportunities like: hey how can you deploy and use something powerfully?</t>
  </si>
  <si>
    <t>Well, it was before my time, but it is primarily because it provides speed and convenience.</t>
  </si>
  <si>
    <t>ROI / process improvement</t>
  </si>
  <si>
    <t>Not only saving time and work, but also how you can help the teams build something that yields a bit of ROI (Return on Investment). The adoption must give something back to the team and help in the daily processes. It’s not like we build something and then forget it; you build something that is adopted and used by the teams. Start small and build further from there.</t>
  </si>
  <si>
    <t>Market relevance / competitiveness</t>
  </si>
  <si>
    <t>We wanted to do something productive and contribute something to the team. So we started working on how we could help the development team. Relevance is what pushed us to adopt this; we wanted to stay relevant in the market.</t>
  </si>
  <si>
    <t>Productivity and efficiency</t>
  </si>
  <si>
    <t>Saving time and being much more productive and efficient in other things where we truly need ourselves, such as conceptual thinking and design patterns.</t>
  </si>
  <si>
    <t>Strategic innovation / leveraging AI trends</t>
  </si>
  <si>
    <t>The motivation was that as a team, we want to focus on much more productive areas. As you can see, a huge shift is currently taking place with the current AI trends and we want to capitalize on that. We want to build projects that not only help our team, but can help the entire product team at a product level.</t>
  </si>
  <si>
    <t>Competitive advantage</t>
  </si>
  <si>
    <t>And is that a motivation for you to get started with AI? Just to stay ahead of the competition? Respondent: Yes.</t>
  </si>
  <si>
    <t>Customer engagement / enhancing user experience</t>
  </si>
  <si>
    <t>And we also want to reach our target group, the students. We want students not only to read a book, but also to be able to ask questions to the book with the content in the agent. We are working on those kinds of things.</t>
  </si>
  <si>
    <t>Customer service improvement</t>
  </si>
  <si>
    <t>The second is to also integrate chatbots for customers, but smarter ones, to support customer service</t>
  </si>
  <si>
    <t>Work process efficiency</t>
  </si>
  <si>
    <t>Multiple reasons. One is work process efficiency.</t>
  </si>
  <si>
    <t>Scalability / operational optimization</t>
  </si>
  <si>
    <t>And especially at Booking: if you look at... more than a million bookings are made per day. You have a few million hotels and accommodations on the platform. So even if you can only improve by 1%, then that is gigantic indeed.</t>
  </si>
  <si>
    <t>Speed and ease of processes</t>
  </si>
  <si>
    <t>Yes, I think the drive to go towards agentic AI... I think, as the whole world feels nowadays, that it can all be faster and easier via agentic AI. I think those are the motives for Booking.</t>
  </si>
  <si>
    <t>Efficiency, productivity, and time saving</t>
  </si>
  <si>
    <t>“Time saving. Yes, that is the main thing.”</t>
  </si>
  <si>
    <t>“Well, it was before my time, but it is primarily because it provides speed and convenience.”</t>
  </si>
  <si>
    <t>“Not only saving time and work, but also how you can help the teams build something that yields a bit of ROI (Return on Investment).”</t>
  </si>
  <si>
    <t>“Saving time and being much more productive and efficient in other things where we truly need ourselves, such as conceptual thinking and design patterns.”</t>
  </si>
  <si>
    <t>“Multiple reasons. One is work process efficiency.”</t>
  </si>
  <si>
    <t>“The adoption must give something back to the team and help in the daily processes.”</t>
  </si>
  <si>
    <t>Growth &amp; Scalability</t>
  </si>
  <si>
    <t>“We want to build projects that not only help our team, but can help the entire product team at a product level.”</t>
  </si>
  <si>
    <t>“Yes, I think the drive to go towards agentic AI... that it can all be faster and easier via agentic AI.”</t>
  </si>
  <si>
    <t>Innovation, future vision, and staying relevant</t>
  </si>
  <si>
    <t>“Respondent 2: Future vision. Making work easier, taking it off our hands.”</t>
  </si>
  <si>
    <t>“We did this primarily because it's keeping up with the times of course, but in the right way.”</t>
  </si>
  <si>
    <t>“Relevance is what pushed us to adopt this; we wanted to stay relevant in the market.”</t>
  </si>
  <si>
    <t>“As you can see, a huge shift is currently taking place with the current AI trends and we want to capitalize on that.”</t>
  </si>
  <si>
    <t>Competitive advantage and market positioning</t>
  </si>
  <si>
    <t>“And is that a motivation for you to get started with AI? Just to stay ahead of the competition? Respondent: Yes.”</t>
  </si>
  <si>
    <t>“Even if you can only improve by 1%, then that is gigantic indeed.”</t>
  </si>
  <si>
    <t>Customer experience and service improvement</t>
  </si>
  <si>
    <t>“We want students not only to read a book, but also to be able to ask questions to the book with the content in the agent.”</t>
  </si>
  <si>
    <t>“The second is to also integrate chatbots for customers, but smarter ones, to support customer service.”</t>
  </si>
  <si>
    <t>Use case</t>
  </si>
  <si>
    <t>Knowledge management &amp; employee onboarding</t>
  </si>
  <si>
    <t>The knowledge here within Accell is enormous, but it’s still mostly in people's heads. We want to have that existing in a structured way in a system and then also use that for the first-line in this case, to be able to onboard faster. Because normally if you have to onboard, you take someone by the hand. Well, in this case, that isn't necessary, because the AI agent does that for you.</t>
  </si>
  <si>
    <t>Multilingual customer support &amp; email generation</t>
  </si>
  <si>
    <t>Yes. The advantage for us is: our agent generates an answer, but it can also create an email draft. And it does that in the language of the user. So if you have an English Salesforce, you get an English answer and in the language of the case, so the question. If that is in German, you see it in German. So even if you don't know German, you can see: "Okay, I see how the content, what is being written." You can then just copy and paste the email draft in German without having to actually know the language.</t>
  </si>
  <si>
    <t>Policy document processing &amp; communication</t>
  </si>
  <si>
    <t>Processing of and communication about policy documents.</t>
  </si>
  <si>
    <t>HR support assistant</t>
  </si>
  <si>
    <t>Support for the HR department.</t>
  </si>
  <si>
    <t>Parent communication support</t>
  </si>
  <si>
    <t>Communication with parents (existing customers, no new leads).</t>
  </si>
  <si>
    <t>AI-supported handling of complex data environments</t>
  </si>
  <si>
    <t>So bigger the amount of data, bigger the complexity of the company, I see as a let's say better AI usage for this kind of company because small you are then the relative benefit for you is lower because the cost if you compare the cost for the AI compared to what it brings you, if you can do it yourself very quickly you don't have to you know do any heavy lifting that it maybe not as as much useful for you.</t>
  </si>
  <si>
    <t>Customer-facing FAQ &amp; support chatbot</t>
  </si>
  <si>
    <t>The goal was in any case to allow the customer who normally has to search for a number of FAQs, frequently asked questions, on a support page, to find them by means of a chat function with the agent. And he then also gives a bit more information specifically to the customer who then has to identify themselves based on a number of core data they have in the system. And that's how he can then give a bit more specific information about this specific customer.</t>
  </si>
  <si>
    <t>AI-supported calculations &amp; work preparation</t>
  </si>
  <si>
    <t>Other agents are going to go soon also actually about calculating, work preparation.</t>
  </si>
  <si>
    <t>Internal document search &amp; engineering assistant</t>
  </si>
  <si>
    <t>We have one well larger use case, but if you split that up then I think that it falls apart into a thirty-ish use cases so to speak. We are busy with another use case that goes especially about searching documents and information and quickly giving an answer back. So that is more the internal assistant that learns very quickly and helps the new employee somewhat quickly on their way with finding their work within very many in this case engineering documentation.</t>
  </si>
  <si>
    <t>Data monitoring &amp; enrichment</t>
  </si>
  <si>
    <t>But what we are doing, that is then internal, is seeing how agents can actually indeed keep an eye on our org in terms of data and eventually also do enrichment on that. So that is another use case that we are also considering by the way.</t>
  </si>
  <si>
    <t>Sales administration support</t>
  </si>
  <si>
    <t>Sales people are not good Sales people because they can administrate so well. They usually don't find that so fun. So there also lie the chances again for an agent and all kinds of other integrations to support us with that.</t>
  </si>
  <si>
    <t>Inventory &amp; stock optimization</t>
  </si>
  <si>
    <t>And agents can really help you to prevent a bit of out-of-stock loss.</t>
  </si>
  <si>
    <t>Faster quotation &amp; order acquisition support</t>
  </si>
  <si>
    <t>So and the use case we did with that company was mainly about a bit of how do I ensure that I get more orders in? And that is really in the corner so to speak. Yes, and if you are the fastest one there to come back with an answer you naturally have a larger chance to bring in an order. And how much easier it is to do business with you. And if you can offer something that the rest cannot, well then you have a distinguishing point there.</t>
  </si>
  <si>
    <t>Automated contract processing &amp; data extraction</t>
  </si>
  <si>
    <t>that was about entering contracts. When they received contracts, those contracts had to be listed in Salesforce in the right way. They had to do that by hand now. So that is "document to record," something like that. I believe it was also for automatically pre-filling fields: Chamber of Commerce numbers, VAT numbers, address details. That that went automated because they had that already in another document anyway, then the AI could also retrieve it. Those kinds of use cases.</t>
  </si>
  <si>
    <t>Cross-system customer support integration</t>
  </si>
  <si>
    <t>And then as we watched throughout time, we also realized or we got mature enough to come to the point that we could actually connect it to different systems to combine more information or help the customers in a more efficient way.</t>
  </si>
  <si>
    <t>AI-supported sales preparation</t>
  </si>
  <si>
    <t>we set up an agent for sales prep for example. Give me the data of this this customer, search the internet for recent developments... those kinds of standard prompt things in that agent. So those kinds of initiatives are there, but we don't necessarily need the Global department for that because we have enough with those Pro licenses.</t>
  </si>
  <si>
    <t>Data glossary &amp; field definition assistant</t>
  </si>
  <si>
    <t>Yes because we only have glossaries, so just very cold, dusty Excel sheets in which you can find the definition of a field. And my... I want to make that a bit more lively and I just see much more in my mind that someone is busy later and thinks: yes I don't know how this works, oh I'll just do Copilot, yo this agent how does this and this work? And it just gives you an answer. Then you don't have to go searching in an Excel sheet, you have all the information in one go before you and that works much better. And that is also a bit the current way of how we work just by means of a chat interface. Only our Global department they still don't completely agree that I am doing this. They feel like: "No there should just be one large Excel sheet in which you can do Control+F and then it should all be clear."</t>
  </si>
  <si>
    <t>Salesforce data governance assistant</t>
  </si>
  <si>
    <t>I am for example building the data vitality agent there, which can already answer all your questions in the field of how should I use a field in Salesforce? And what kind of risk do I run if I adjust that field now? What happens then so to speak?</t>
  </si>
  <si>
    <t>Automated case qualification</t>
  </si>
  <si>
    <t>And the second one is: at the moment that cases come in they are often... so we work with email-to-case nowadays. So email comes in, that automatically becomes a case. That still needs to be qualified for the Customer Care employee to be able to do something with it or at least to see substantively what kind of question it is so to speak. And they also want to put an agent on that part.</t>
  </si>
  <si>
    <t>Complaint handling &amp; customer master data support</t>
  </si>
  <si>
    <t>On one hand: easy complaint handling or handling of questions like Customer Master Data adjustment in Salesforce.</t>
  </si>
  <si>
    <t>AI-driven farmer sales simulation</t>
  </si>
  <si>
    <t>Yes, you won't experience that with a real farmer. So in that sense, you get a more difficult and developed conversation partner in an AI Farmer than you ultimately have with that farmer.</t>
  </si>
  <si>
    <t>Automated CRM data entry &amp; meeting summarization</t>
  </si>
  <si>
    <t>Look, and there's a sort of contradiction there, because on the one hand, you want to turn it on so that it helps get the right data quality into the system, because it can obviously help a lot with that. For instance, if the salesperson is in a meeting and has their microphone listening in, or at the end of the meeting they are in the car and they try to summarize the conversation so that AI can put that in the system the right way. That naturally helps that data quality.</t>
  </si>
  <si>
    <t>Internal efficiency &amp; head office productivity support</t>
  </si>
  <si>
    <t>And I find the strength is specifically to achieve growth within the head office by approaching things more smartly. And I want to use AI more for that.</t>
  </si>
  <si>
    <t>AI-assisted content &amp; process generation</t>
  </si>
  <si>
    <t>And efficiency—it does many things like preparing pieces of text, preparing an email, doing a PowerPoint setup; using ChatGPT to request a five-step, three-step, or ten-step plan for certain processes that you would otherwise largely have to draw from your own experience, education, and knowledge, but which you can now pull from such an AI solution.</t>
  </si>
  <si>
    <t>Workforce reduction &amp; service automation</t>
  </si>
  <si>
    <t>No, not at the moment, certainly. But those people will also retire at some point, of course. And you want to anticipate that now. And we have quite a few front-office employees in service. Ultimately, I also think the desire is that we go down in FTE.</t>
  </si>
  <si>
    <t>Automated meeting scheduling</t>
  </si>
  <si>
    <t>So, to give an example: enter a prompt in Copilot saying you want to plan a meeting with a number of users, and it searches for a meeting room for you based on everyone's availability and plans the meeting too.</t>
  </si>
  <si>
    <t>Creation of Copilot agents &amp; workflow automation</t>
  </si>
  <si>
    <t>with Copilot you can already have actions performed; you can also quite easily—much easier than in Agentforce—create Copilot agents as well.</t>
  </si>
  <si>
    <t>Voice-to-CRM sales reporting</t>
  </si>
  <si>
    <t>in Malaysia, I believe, they have developed a very interesting use case, and that is bakery—Out of Home, that is. Those are essentially small bakeries that purchase products. Part of that is Agentforce, or a field service representative—an account manager, let’s say—who visits those bakeries, records a memo via the Salesforce app, which is transcribed and can be
written to various types of actions. Like creating a case or an opportunity</t>
  </si>
  <si>
    <t>Automated case management &amp; call summarization</t>
  </si>
  <si>
    <t>Restaurant revenue growth optimization</t>
  </si>
  <si>
    <t>We nevertheless try to let more and more restaurant owners grow, let them generate more revenue, such that eventually JET takes more commission from that. But we also try to get more income from existing restaurant owners, such that JET can grow in a restaurant industry that is not growing extremely hard at this moment.</t>
  </si>
  <si>
    <t>Partner-funded offer sales agent</t>
  </si>
  <si>
    <t>And then we have Oscar who sells partner-funded offers.</t>
  </si>
  <si>
    <t>Opening hours optimization agent</t>
  </si>
  <si>
    <t>We have Olivia who sells opening hours.</t>
  </si>
  <si>
    <t>Lead enrichment agent</t>
  </si>
  <si>
    <t>Larry is lead enrichment.</t>
  </si>
  <si>
    <t>SDR &amp; cold outreach automation</t>
  </si>
  <si>
    <t>So now they have another bottleneck at: actually we have too many qualified leads for the account management apparatus we have to actually follow those up. So there you end up at our SDR agents, for example: how can we now let agents help with cold outreach, booking a first appointment, etcetera. And so they actually have bottlenecks and opportunities in all phases of the sales lifecycle where agents can be of added value.</t>
  </si>
  <si>
    <t>Automated lead qualification</t>
  </si>
  <si>
    <t>JET has no problem with new cold leads. Every restaurant owner who opens a new restaurant or who is not yet a customer, they all have websites, they all go online, they are all on Instagram. JET already had tools to just search the internet for potential new restaurants that could use JET's services. So they have a lot of incoming leads, really tens of thousands per month. But they don't have many people at all to be able to qualify them: is this actually a potentially interesting lead at all? So the first agent we built, it helps in improving and accelerating lead qualification. So information enrichment, lead enrichment, making an initial judgment on whether this is a potentially interesting lead.</t>
  </si>
  <si>
    <t>Opening hours recommendation engine</t>
  </si>
  <si>
    <t>So for example, as JET, we see: if you have your restaurant open longer, you get more orders, you get more revenue, JET earns more money. It's that simple. So we built agents that determine based on internal algorithms: you might benefit from wider opening hours.</t>
  </si>
  <si>
    <t>Engineering document search &amp; summarization</t>
  </si>
  <si>
    <t>hey just have to look up a lot of information in documents, because that information is not always available in a database and is also not necessarily commercially interesting to put in a database, because you are then spending a lot of time for something about which you might only get a question once and then not again for 30 years. But it is between 250 and 750 documents for a ship that you have to plow through. So there we did see, especially with that conversational AI and the fact that those LLMs are naturally very good at reading, interpreting, summarizing texts, there we really saw an opportunity to help them with that so to speak, to speed up that process. And they saw that too.</t>
  </si>
  <si>
    <t>AI use case ideation &amp; prioritization</t>
  </si>
  <si>
    <t>they brainstormed about where in their process the most pain is or where and also in combination with okay, where can we in which parts of the process can we now most or what would be most interesting.</t>
  </si>
  <si>
    <t>AI use case portfolio development &amp; prioritization</t>
  </si>
  <si>
    <t>With seven people all those use cases... no, we already have a pile of 60 ideas or so where five are now in development.</t>
  </si>
  <si>
    <t>Departmental AI assistants</t>
  </si>
  <si>
    <t>So yes, I think we have roughly over 60 to 80 agents already live just as personal assistants or something that does something for a department. At IT itself, so managed by IT, we have six I think under development. An HR agent, a parts data agent to completely update our parts files.</t>
  </si>
  <si>
    <t>Enterprise AI platform integration</t>
  </si>
  <si>
    <t>AI-supported service staffing</t>
  </si>
  <si>
    <t>Plus, it is quite difficult to find good staff for those positions, right? Who are affordable, who you can rely on, who also have the required level of knowledge. Even just the Dutch language, so to speak. So that is, yes, it is difficult to find the right people. And this just helps with that.</t>
  </si>
  <si>
    <t>After-hours support chatbot</t>
  </si>
  <si>
    <t>Yes, we have a small group; we are only 25 people. So we only have five service engineers who do that on rotation. And I saw that a large part of the questions coming in were not business-critical at all. But yes, the customer felt they were, because the TV isn't working or whatever. But that actually falls outside the SLA, yet someone is still being bothered for it. So what we do now is... we went live immediately outside of office hours: if you call us, you are redirected to the chat. Everything goes to the chat now.</t>
  </si>
  <si>
    <t>Automated telecom &amp; IT support actions</t>
  </si>
  <si>
    <t>What we effectively did was unlock those processes with an Agentforce agent. So the same things we already had in place for our internal help: sim swaps, requesting PUK codes, doing a Radius check on your internet connection. Yes, we actually had all of that in place already through those API calls and engines. And now the agent simply does that in a conversation with the customer. And the customer experiences it as if they are simply in contact with customer service or support.</t>
  </si>
  <si>
    <t>First-line customer support automation</t>
  </si>
  <si>
    <t>What our agent effectively does is, well, help customers with first-line support questions. We are a managed service provider, so we provide services to SMEs: telecom, IT, connectivity. Yes, we are a strategic partner of KPN. And we do that under the SME brand, so we have a lot of customers we serve with a relatively small team of 25 people. We do that because we are highly automated.</t>
  </si>
  <si>
    <t>High-volume B2C customer support automation</t>
  </si>
  <si>
    <t>I think in any case that B2C has a much better market for external agents. Precisely because the volumes there are much higher and the questions are often also simpler</t>
  </si>
  <si>
    <t>Internal employee search assistant</t>
  </si>
  <si>
    <t>They do indeed have a kind of employee-facing agent live, whose adoption is also not very high, but it is currently live helping with internal searches for data.</t>
  </si>
  <si>
    <t>Travel recommendation &amp; quotation assistant</t>
  </si>
  <si>
    <t>what Boat Bike Tours does is also a kind of travel agency, they have boats sailing throughout Europe and beyond and you book a kind of cruise; in the evenings you sleep on a boat somewhere in a harbor or at a spot, in the morning you eat on the boat, you get on the bike, cycle a bit and where you arrive the boat is there again and you sleep there again and then at night you go sailing again. And you have these cycling routes that you do. Because they offer many different types of trips, they have a whole quoting process with customers and they wanted to automate that. Well, then we built a copilot—at the time it was called copilot—so an internal chatbot to say based on the description a customer gives: "this could be a good tour," you can make a quote for a certain date with a certain boat and I don't know what all.</t>
  </si>
  <si>
    <t>FAQ automation</t>
  </si>
  <si>
    <t>But I do think for a whole lot of use cases we see that it just works well. FAQs—if you have your FAQ in Salesforce, put an agent against it, you know, why not? Can be done perfectly fine. Just some actions you build in flow or processes you already have in Salesforce will work great.</t>
  </si>
  <si>
    <t>Hotel recommendation assistant</t>
  </si>
  <si>
    <t>Interviewee: I expect so. We have already introduced a few things there. So we made a topic about finding a good hotel, because that data was already available on the website. So we just threw a little scraper at it, and if someone asks like: "hey, what would you recommend?" that it actually just works. Oh cool. Fun. Okay. So they do want that. That's in the same agent. Yes, we are currently still mapping out a roadmap for the coming period.</t>
  </si>
  <si>
    <t>Work summarization &amp; FAQ suggestions</t>
  </si>
  <si>
    <t>No, much less. No. They receive a lot of phone calls, and what they notice is that for a text bot, it is still difficult to have such a copilot window open and to chat in there. So what they are focusing much more on is generative AI for work summaries, for proposing FAQ things, those kinds of matters. So more the Einstein capabilities. Exactly, yes. More reactive. Yes.</t>
  </si>
  <si>
    <t>Customer verification &amp; booking support</t>
  </si>
  <si>
    <t>Interviewee: Exactly, you fill in three pieces of data about yourself and based on that you are verified and then an email is sent to what is on the booking. Yes, oh perfect, nice. So that, and it works quite well. We are now working with the internal beta of Salesforce to also include MCP capabilities.</t>
  </si>
  <si>
    <t>Automated ticket resending</t>
  </si>
  <si>
    <t>Just really—yes, it was already quite extensive, so that worked quite well. They have now expanded it so that we—I have to check carefully—so that you can have tickets resent with certain safeguards in place.</t>
  </si>
  <si>
    <t>FAQ-based customer service automation</t>
  </si>
  <si>
    <t>No, it all has to do with the number of cases we get. There are very many and that can simply because there is a lot of low-hanging fruit in between. Many of the same questions are being asked. Yes, you can catch that with an agent and an FAQ article. So you can help the customer faster and better, and less effort by putting less effort into it but ensuring that it can be answered well via AI and the customer is satisfied.</t>
  </si>
  <si>
    <t>Internal first-line support agent</t>
  </si>
  <si>
    <t>Grouped Use Case</t>
  </si>
  <si>
    <t>Supporting Snippet</t>
  </si>
  <si>
    <t>Customer Support &amp; FAQ Automation</t>
  </si>
  <si>
    <t>“Many of the same questions are being asked. Yes, you can catch that with an agent and an FAQ article.”</t>
  </si>
  <si>
    <t>Customers can use an AI chat function instead of manually searching FAQs.</t>
  </si>
  <si>
    <t>AI agents handle first-line support questions and after-hours customer service.</t>
  </si>
  <si>
    <t>Corendon</t>
  </si>
  <si>
    <t>FAQ agents answer customer questions and support booking-related requests.</t>
  </si>
  <si>
    <t>Internal Knowledge Management &amp; Employee Support</t>
  </si>
  <si>
    <t>AI onboarding assistant to transfer internal knowledge and support first-line employees faster.</t>
  </si>
  <si>
    <t>Internal assistant helps employees search engineering documentation and retrieve information quickly.</t>
  </si>
  <si>
    <t>AI glossary assistant replaces “cold, dusty Excel sheets” with conversational access to knowledge.</t>
  </si>
  <si>
    <t>Internal employee-facing agent supports internal data searches.</t>
  </si>
  <si>
    <t>Document Processing &amp; Information Retrieval</t>
  </si>
  <si>
    <t>AI helps employees search and summarize hundreds of technical ship documents.</t>
  </si>
  <si>
    <t>AI extracts contract data and automatically fills Salesforce records.</t>
  </si>
  <si>
    <t>OCR and document extraction AI are already operational.</t>
  </si>
  <si>
    <t>Sales Support, Lead Qualification &amp; CRM Automation</t>
  </si>
  <si>
    <t>Agents enrich and qualify incoming restaurant leads and assist with cold outreach.</t>
  </si>
  <si>
    <t>AI agent supports sales preparation by gathering customer information and internet developments.</t>
  </si>
  <si>
    <t>AI supports quotation processes and faster customer responses to increase order success.</t>
  </si>
  <si>
    <t>AI assists salespeople with CRM data entry and meeting summarization.</t>
  </si>
  <si>
    <t>FrieslandCampina</t>
  </si>
  <si>
    <t>Voice memos from sales visits are automatically transcribed into Salesforce actions and opportunities.</t>
  </si>
  <si>
    <t>Case Management &amp; Administrative Automation</t>
  </si>
  <si>
    <t>AI qualifies incoming email-to-case tickets.</t>
  </si>
  <si>
    <t>AI categorizes cases, creates summaries, drafts emails, and supports inbound telephony.</t>
  </si>
  <si>
    <t>AI automatically drafts multilingual customer emails.</t>
  </si>
  <si>
    <t>Copilot automates scheduling meetings and operational tasks.</t>
  </si>
  <si>
    <t>Developer Productivity &amp; Software Engineering Support</t>
  </si>
  <si>
    <t>Claude is integrated into VS Code, Jira, and repositories to support development work.</t>
  </si>
  <si>
    <t>AI assists with writing test cases and automated code reviews.</t>
  </si>
  <si>
    <t>Developers experiment with AI coding assistants and service desk tooling.</t>
  </si>
  <si>
    <t>Data Quality, Governance &amp; Enrichment</t>
  </si>
  <si>
    <t>Agents monitor and enrich Salesforce data.</t>
  </si>
  <si>
    <t>“Data vitality agent” advises employees on field usage and governance risks.</t>
  </si>
  <si>
    <t>AI improves CRM data quality through automated meeting transcription and summarization.</t>
  </si>
  <si>
    <t>HR &amp; Organizational Support</t>
  </si>
  <si>
    <t>AI supports HR operations and policy communication.</t>
  </si>
  <si>
    <t>AI compensates for staffing shortages in support operations.</t>
  </si>
  <si>
    <t>AI is viewed as a way to reduce future FTE requirements in customer service.</t>
  </si>
  <si>
    <t>Recommendation &amp; Personalization Systems</t>
  </si>
  <si>
    <t>AI recommends hotels and travel packages based on customer preferences.</t>
  </si>
  <si>
    <t>Agents recommend optimized opening hours for restaurants to increase revenue.</t>
  </si>
  <si>
    <t>“AI Farmer” simulates advanced farmer conversations for sales purposes.</t>
  </si>
  <si>
    <t>Enterprise Productivity &amp; General AI Assistance</t>
  </si>
  <si>
    <t>Large-scale rollout of Copilot, SAP Joule, and departmental assistants.</t>
  </si>
  <si>
    <t>AI supports text generation, presentations, and process planning.</t>
  </si>
  <si>
    <t>AI-powered functions help customers build features and automate tasks.</t>
  </si>
  <si>
    <t>AI Strategy, Ideation &amp; Use Case Development</t>
  </si>
  <si>
    <t>The organization brainstormed about process pain points and identified 60–80 potential AI use cases, with several already in development.</t>
  </si>
  <si>
    <t>AI opportunities are explored across all phases of the sales lifecycle.</t>
  </si>
  <si>
    <t>Automated document validation</t>
  </si>
  <si>
    <t>it started with recognizing a document: is it a valid document, is it what we expect? And that is partly to alleviate the burden for the customer, but also to assist the bank by performing the initial review of what the customer provides, to see if it meets expectations to ultimately finalize the deal. If we didn't do that, it would go to the bank and we would get a rejection back because it doesn't comply, meaning we both have much more work than if we did that initial review ourselves. So, primarily for speed in your own processes, which also provides speed for the customer, so they are helped faster.</t>
  </si>
  <si>
    <t>Automated customer service ticket handling</t>
  </si>
  <si>
    <t>If you look at customer service, for example: Booking was already often looking at human-handled tickets versus machine-handled tickets. Well, if we can increase that, then with thousands of customer service people we have worldwide, you can already make a significant impact there.</t>
  </si>
  <si>
    <t>Organizational</t>
  </si>
  <si>
    <t>Technological</t>
  </si>
  <si>
    <t>Environmental</t>
  </si>
  <si>
    <t>Snippet:  I think that in the case of JET it's actually the environment that forces them as it were, right, of all the factors we have mentioned. Competition, macro-economy, having to grow etcetera. But the organization makes the difference. That is indeed how I would want to say it. So the vision, the strategy, the roadmap, the leadership, the commitment to the program and also the achieving of results and simply really doing it. And I would not say that technology then is subordinate to that, but without without that force they put behind the program from the organization, we would never have gotten so far with the technology.</t>
  </si>
  <si>
    <t>Organizational 1</t>
  </si>
  <si>
    <t>Technological 1</t>
  </si>
  <si>
    <t>Environmental 1</t>
  </si>
  <si>
    <t>Organizational 2</t>
  </si>
  <si>
    <t>Technological 2</t>
  </si>
  <si>
    <t>Environmental 2</t>
  </si>
  <si>
    <t>Organizational 3</t>
  </si>
  <si>
    <t>Technological 3</t>
  </si>
  <si>
    <t>Environmental 3</t>
  </si>
  <si>
    <t>&gt;</t>
  </si>
  <si>
    <t>Environmental / external factors</t>
  </si>
  <si>
    <t>&gt;&gt;</t>
  </si>
  <si>
    <t>Customer Expectations</t>
  </si>
  <si>
    <t>Legal Difficulties</t>
  </si>
  <si>
    <t>Economic Uncertainty</t>
  </si>
  <si>
    <t>Tech Gap</t>
  </si>
  <si>
    <t>Costs</t>
  </si>
  <si>
    <t>Compliance</t>
  </si>
  <si>
    <t>Comptetitive pressure</t>
  </si>
  <si>
    <t>Organisational factors</t>
  </si>
  <si>
    <t>Organisational Structure</t>
  </si>
  <si>
    <t>&gt;&gt;&gt;</t>
  </si>
  <si>
    <t>Company Size</t>
  </si>
  <si>
    <t>Agent Ownership</t>
  </si>
  <si>
    <t>Organisational Hierarchy</t>
  </si>
  <si>
    <t>Change management</t>
  </si>
  <si>
    <t>Stakeholder Involvement</t>
  </si>
  <si>
    <t>complexity, security/privacy concerns, organizational readiness, competitive pressure, external support, and government support</t>
  </si>
  <si>
    <t>User Expectations</t>
  </si>
  <si>
    <t>Communication</t>
  </si>
  <si>
    <t>Internal Ambassadors</t>
  </si>
  <si>
    <t>Resistance/scepticism</t>
  </si>
  <si>
    <t>Organisational Readiness</t>
  </si>
  <si>
    <t>(Data) Governance</t>
  </si>
  <si>
    <t>Capacity</t>
  </si>
  <si>
    <t>Employee IT Literacy</t>
  </si>
  <si>
    <t>Training &amp; Documentation</t>
  </si>
  <si>
    <t>Strategic Alignment</t>
  </si>
  <si>
    <t>AI Strategy</t>
  </si>
  <si>
    <t>Top Management Support</t>
  </si>
  <si>
    <t>Core Business Prioritization</t>
  </si>
  <si>
    <t>Innovation Culture</t>
  </si>
  <si>
    <t>Technological factors</t>
  </si>
  <si>
    <t>AI Governance &amp; Control</t>
  </si>
  <si>
    <t>Agent troubleshooting</t>
  </si>
  <si>
    <t>Testing Challenges</t>
  </si>
  <si>
    <t>Testing Process</t>
  </si>
  <si>
    <t>Control Mechanisms</t>
  </si>
  <si>
    <t>Security</t>
  </si>
  <si>
    <t>AI Performance</t>
  </si>
  <si>
    <t>User Experience</t>
  </si>
  <si>
    <t>Accuracy of AI</t>
  </si>
  <si>
    <t>Technical Infrastructure</t>
  </si>
  <si>
    <t>Technological Issues</t>
  </si>
  <si>
    <t>Data Readiness</t>
  </si>
  <si>
    <t>Integration Issues</t>
  </si>
  <si>
    <t>Complexity</t>
  </si>
  <si>
    <t>Organisational</t>
  </si>
  <si>
    <t>Total</t>
  </si>
  <si>
    <t>Organisational Factors</t>
  </si>
  <si>
    <t>Agent Ownership (7)</t>
  </si>
  <si>
    <t>Organisational Readiness (13)</t>
  </si>
  <si>
    <t>Capacity (1)</t>
  </si>
  <si>
    <t>Organisational Hierarchy (7)</t>
  </si>
  <si>
    <t>Core Business Prioritization (9)</t>
  </si>
  <si>
    <t>Top Management Support (12)</t>
  </si>
  <si>
    <t>Scepsis (8)</t>
  </si>
  <si>
    <t>Vendor Resistance / Scepsis (9)</t>
  </si>
  <si>
    <t>AI Strategy (31)</t>
  </si>
  <si>
    <t>Company Size (6)</t>
  </si>
  <si>
    <t>User Expectations (18)</t>
  </si>
  <si>
    <t>Innovation Culture (11)</t>
  </si>
  <si>
    <t>(Data) Governance (15)</t>
  </si>
  <si>
    <t>Internal Ambassadors (14)</t>
  </si>
  <si>
    <t>Training &amp; Documentation (24)</t>
  </si>
  <si>
    <t>Communication (6)</t>
  </si>
  <si>
    <t>IT Literacy (6)</t>
  </si>
  <si>
    <t>Stakeholder Involvement (7)</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</si>
</sst>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1.0"/>
      <color rgb="FF333333"/>
      <name val="&quot;Helvetica Neue&quot;"/>
    </font>
    <font>
      <sz val="11.0"/>
      <color rgb="FF333333"/>
      <name val="&quot;Helvetica Neue&quot;"/>
    </font>
    <font>
      <u/>
      <sz val="11.0"/>
      <color rgb="FF0000FF"/>
      <name val="&quot;Helvetica Neue&quot;"/>
    </font>
    <font>
      <color theme="1"/>
      <name val="Arial"/>
      <scheme val="minor"/>
    </font>
    <font>
      <b/>
      <color theme="1"/>
      <name val="Arial"/>
      <scheme val="minor"/>
    </font>
    <font>
      <u/>
      <color rgb="FF0000FF"/>
    </font>
    <font>
      <u/>
      <color rgb="FF0000FF"/>
    </font>
    <font>
      <color theme="1"/>
      <name val="Arial"/>
    </font>
    <font>
      <b/>
      <u/>
      <color theme="1"/>
      <name val="Arial"/>
    </font>
    <font>
      <b/>
      <u/>
      <color theme="1"/>
      <name val="Arial"/>
    </font>
    <font>
      <b/>
      <color theme="1"/>
      <name val="Arial"/>
    </font>
    <font>
      <b/>
      <i/>
      <color theme="1"/>
      <name val="Arial"/>
    </font>
    <font>
      <i/>
      <color theme="1"/>
      <name val="Arial"/>
      <scheme val="minor"/>
    </font>
    <font>
      <sz val="11.0"/>
      <color theme="1"/>
      <name val="Inherit"/>
    </font>
  </fonts>
  <fills count="8">
    <fill>
      <patternFill patternType="none"/>
    </fill>
    <fill>
      <patternFill patternType="lightGray"/>
    </fill>
    <fill>
      <patternFill patternType="solid">
        <fgColor rgb="FFF2F2F2"/>
        <bgColor rgb="FFF2F2F2"/>
      </patternFill>
    </fill>
    <fill>
      <patternFill patternType="solid">
        <fgColor rgb="FFFFFFFF"/>
        <bgColor rgb="FFFFFFFF"/>
      </patternFill>
    </fill>
    <fill>
      <patternFill patternType="solid">
        <fgColor rgb="FFDDDDDD"/>
        <bgColor rgb="FFDDDDDD"/>
      </patternFill>
    </fill>
    <fill>
      <patternFill patternType="solid">
        <fgColor rgb="FFF4CCCC"/>
        <bgColor rgb="FFF4CCCC"/>
      </patternFill>
    </fill>
    <fill>
      <patternFill patternType="solid">
        <fgColor rgb="FFD9EAD3"/>
        <bgColor rgb="FFD9EAD3"/>
      </patternFill>
    </fill>
    <fill>
      <patternFill patternType="solid">
        <fgColor rgb="FFF0F0F0"/>
        <bgColor rgb="FFF0F0F0"/>
      </patternFill>
    </fill>
  </fills>
  <borders count="2">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1" fillId="3" fontId="2" numFmtId="0" xfId="0" applyAlignment="1" applyBorder="1" applyFill="1" applyFont="1">
      <alignment horizontal="left" readingOrder="0"/>
    </xf>
    <xf quotePrefix="1" borderId="1" fillId="0" fontId="3" numFmtId="0" xfId="0" applyAlignment="1" applyBorder="1" applyFont="1">
      <alignment horizontal="left" readingOrder="0"/>
    </xf>
    <xf borderId="0" fillId="0" fontId="4" numFmtId="0" xfId="0" applyAlignment="1" applyFont="1">
      <alignment readingOrder="0"/>
    </xf>
    <xf borderId="0" fillId="0" fontId="5" numFmtId="0" xfId="0" applyAlignment="1" applyFont="1">
      <alignment horizontal="center" readingOrder="0"/>
    </xf>
    <xf borderId="0" fillId="0" fontId="5" numFmtId="0" xfId="0" applyAlignment="1" applyFont="1">
      <alignment readingOrder="0"/>
    </xf>
    <xf borderId="0" fillId="0" fontId="5" numFmtId="0" xfId="0" applyAlignment="1" applyFont="1">
      <alignment readingOrder="0" shrinkToFit="0" wrapText="0"/>
    </xf>
    <xf borderId="0" fillId="0" fontId="5" numFmtId="0" xfId="0" applyAlignment="1" applyFont="1">
      <alignment readingOrder="0" shrinkToFit="0" wrapText="1"/>
    </xf>
    <xf borderId="0" fillId="0" fontId="4" numFmtId="0" xfId="0" applyAlignment="1" applyFont="1">
      <alignment readingOrder="0" shrinkToFit="0" wrapText="0"/>
    </xf>
    <xf borderId="0" fillId="0" fontId="4" numFmtId="0" xfId="0" applyAlignment="1" applyFont="1">
      <alignment readingOrder="0" shrinkToFit="0" wrapText="1"/>
    </xf>
    <xf borderId="0" fillId="0" fontId="4" numFmtId="0" xfId="0" applyAlignment="1" applyFont="1">
      <alignment shrinkToFit="0" wrapText="0"/>
    </xf>
    <xf borderId="0" fillId="0" fontId="4" numFmtId="0" xfId="0" applyAlignment="1" applyFont="1">
      <alignment shrinkToFit="0" wrapText="1"/>
    </xf>
    <xf borderId="0" fillId="2" fontId="5" numFmtId="0" xfId="0" applyAlignment="1" applyFont="1">
      <alignment readingOrder="0"/>
    </xf>
    <xf borderId="0" fillId="2" fontId="5" numFmtId="0" xfId="0" applyAlignment="1" applyFont="1">
      <alignment readingOrder="0" shrinkToFit="0" wrapText="1"/>
    </xf>
    <xf borderId="0" fillId="2" fontId="5" numFmtId="0" xfId="0" applyAlignment="1" applyFont="1">
      <alignment readingOrder="0" shrinkToFit="0" wrapText="0"/>
    </xf>
    <xf borderId="0" fillId="4" fontId="5" numFmtId="0" xfId="0" applyAlignment="1" applyFill="1" applyFont="1">
      <alignment horizontal="center" readingOrder="0"/>
    </xf>
    <xf borderId="0" fillId="4" fontId="5" numFmtId="0" xfId="0" applyAlignment="1" applyFont="1">
      <alignment readingOrder="0"/>
    </xf>
    <xf borderId="0" fillId="4" fontId="5" numFmtId="0" xfId="0" applyAlignment="1" applyFont="1">
      <alignment readingOrder="0" shrinkToFit="0" wrapText="0"/>
    </xf>
    <xf borderId="0" fillId="0" fontId="6" numFmtId="0" xfId="0" applyAlignment="1" applyFont="1">
      <alignment readingOrder="0"/>
    </xf>
    <xf borderId="0" fillId="0" fontId="5" numFmtId="0" xfId="0" applyFont="1"/>
    <xf borderId="0" fillId="2" fontId="5" numFmtId="0" xfId="0" applyAlignment="1" applyFont="1">
      <alignment horizontal="center" readingOrder="0"/>
    </xf>
    <xf borderId="0" fillId="5" fontId="5" numFmtId="0" xfId="0" applyAlignment="1" applyFill="1" applyFont="1">
      <alignment readingOrder="0"/>
    </xf>
    <xf borderId="0" fillId="5" fontId="4" numFmtId="0" xfId="0" applyAlignment="1" applyFont="1">
      <alignment readingOrder="0"/>
    </xf>
    <xf borderId="0" fillId="0" fontId="5" numFmtId="0" xfId="0" applyAlignment="1" applyFont="1">
      <alignment shrinkToFit="0" wrapText="1"/>
    </xf>
    <xf borderId="0" fillId="0" fontId="7" numFmtId="0" xfId="0" applyAlignment="1" applyFont="1">
      <alignment readingOrder="0"/>
    </xf>
    <xf borderId="0" fillId="0" fontId="4" numFmtId="1" xfId="0" applyFont="1" applyNumberFormat="1"/>
    <xf borderId="0" fillId="0" fontId="4" numFmtId="1" xfId="0" applyAlignment="1" applyFont="1" applyNumberFormat="1">
      <alignment readingOrder="0"/>
    </xf>
    <xf borderId="0" fillId="0" fontId="8" numFmtId="0" xfId="0" applyAlignment="1" applyFont="1">
      <alignment vertical="bottom"/>
    </xf>
    <xf borderId="0" fillId="0" fontId="9" numFmtId="0" xfId="0" applyAlignment="1" applyFont="1">
      <alignment vertical="bottom"/>
    </xf>
    <xf borderId="0" fillId="0" fontId="10" numFmtId="0" xfId="0" applyAlignment="1" applyFont="1">
      <alignment horizontal="right" vertical="bottom"/>
    </xf>
    <xf borderId="0" fillId="0" fontId="8" numFmtId="0" xfId="0" applyAlignment="1" applyFont="1">
      <alignment horizontal="right" vertical="bottom"/>
    </xf>
    <xf borderId="0" fillId="0" fontId="4" numFmtId="0" xfId="0" applyFont="1"/>
    <xf borderId="0" fillId="0" fontId="8" numFmtId="0" xfId="0" applyAlignment="1" applyFont="1">
      <alignment vertical="bottom"/>
    </xf>
    <xf borderId="0" fillId="0" fontId="8" numFmtId="0" xfId="0" applyAlignment="1" applyFont="1">
      <alignment horizontal="right" readingOrder="0" vertical="bottom"/>
    </xf>
    <xf borderId="0" fillId="0" fontId="11" numFmtId="0" xfId="0" applyAlignment="1" applyFont="1">
      <alignment vertical="bottom"/>
    </xf>
    <xf borderId="0" fillId="0" fontId="11" numFmtId="0" xfId="0" applyAlignment="1" applyFont="1">
      <alignment horizontal="right" vertical="bottom"/>
    </xf>
    <xf borderId="0" fillId="6" fontId="8" numFmtId="0" xfId="0" applyAlignment="1" applyFill="1" applyFont="1">
      <alignment vertical="bottom"/>
    </xf>
    <xf borderId="0" fillId="6" fontId="8" numFmtId="0" xfId="0" applyAlignment="1" applyFont="1">
      <alignment horizontal="right" vertical="bottom"/>
    </xf>
    <xf borderId="0" fillId="6" fontId="8" numFmtId="0" xfId="0" applyAlignment="1" applyFont="1">
      <alignment horizontal="right" readingOrder="0" vertical="bottom"/>
    </xf>
    <xf borderId="0" fillId="0" fontId="11" numFmtId="0" xfId="0" applyAlignment="1" applyFont="1">
      <alignment horizontal="right" readingOrder="0" vertical="bottom"/>
    </xf>
    <xf borderId="0" fillId="0" fontId="12" numFmtId="0" xfId="0" applyAlignment="1" applyFont="1">
      <alignment horizontal="right" vertical="bottom"/>
    </xf>
    <xf borderId="0" fillId="0" fontId="13" numFmtId="0" xfId="0" applyFont="1"/>
    <xf borderId="0" fillId="3" fontId="14" numFmtId="0" xfId="0" applyAlignment="1" applyFont="1">
      <alignment readingOrder="0"/>
    </xf>
    <xf borderId="0" fillId="7" fontId="2"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app.delvetool.com/projects/44123/chat/31049" TargetMode="External"/><Relationship Id="rId22" Type="http://schemas.openxmlformats.org/officeDocument/2006/relationships/hyperlink" Target="https://app.delvetool.com/projects/44123/chat/31049" TargetMode="External"/><Relationship Id="rId21" Type="http://schemas.openxmlformats.org/officeDocument/2006/relationships/hyperlink" Target="https://app.delvetool.com/projects/44123/chat/31049" TargetMode="External"/><Relationship Id="rId24" Type="http://schemas.openxmlformats.org/officeDocument/2006/relationships/hyperlink" Target="https://app.delvetool.com/projects/44123/chat/31049" TargetMode="External"/><Relationship Id="rId23" Type="http://schemas.openxmlformats.org/officeDocument/2006/relationships/hyperlink" Target="https://app.delvetool.com/projects/44123/chat/31049" TargetMode="External"/><Relationship Id="rId1" Type="http://schemas.openxmlformats.org/officeDocument/2006/relationships/hyperlink" Target="https://app.delvetool.com/projects/44123/chat/31049" TargetMode="External"/><Relationship Id="rId2" Type="http://schemas.openxmlformats.org/officeDocument/2006/relationships/hyperlink" Target="https://app.delvetool.com/projects/44123/chat/31049" TargetMode="External"/><Relationship Id="rId3" Type="http://schemas.openxmlformats.org/officeDocument/2006/relationships/hyperlink" Target="https://app.delvetool.com/projects/44123/chat/31049" TargetMode="External"/><Relationship Id="rId4" Type="http://schemas.openxmlformats.org/officeDocument/2006/relationships/hyperlink" Target="https://app.delvetool.com/projects/44123/chat/31049" TargetMode="External"/><Relationship Id="rId9" Type="http://schemas.openxmlformats.org/officeDocument/2006/relationships/hyperlink" Target="https://app.delvetool.com/projects/44123/chat/31049" TargetMode="External"/><Relationship Id="rId26" Type="http://schemas.openxmlformats.org/officeDocument/2006/relationships/hyperlink" Target="https://app.delvetool.com/projects/44123/chat/31049" TargetMode="External"/><Relationship Id="rId25" Type="http://schemas.openxmlformats.org/officeDocument/2006/relationships/hyperlink" Target="https://app.delvetool.com/projects/44123/chat/31049" TargetMode="External"/><Relationship Id="rId28" Type="http://schemas.openxmlformats.org/officeDocument/2006/relationships/hyperlink" Target="https://app.delvetool.com/projects/44123/chat/31049" TargetMode="External"/><Relationship Id="rId27" Type="http://schemas.openxmlformats.org/officeDocument/2006/relationships/hyperlink" Target="https://app.delvetool.com/projects/44123/chat/31049" TargetMode="External"/><Relationship Id="rId5" Type="http://schemas.openxmlformats.org/officeDocument/2006/relationships/hyperlink" Target="https://app.delvetool.com/projects/44123/chat/31049" TargetMode="External"/><Relationship Id="rId6" Type="http://schemas.openxmlformats.org/officeDocument/2006/relationships/hyperlink" Target="https://app.delvetool.com/projects/44123/chat/31049" TargetMode="External"/><Relationship Id="rId29" Type="http://schemas.openxmlformats.org/officeDocument/2006/relationships/hyperlink" Target="https://app.delvetool.com/projects/44123/chat/31049" TargetMode="External"/><Relationship Id="rId7" Type="http://schemas.openxmlformats.org/officeDocument/2006/relationships/hyperlink" Target="https://app.delvetool.com/projects/44123/chat/31049" TargetMode="External"/><Relationship Id="rId8" Type="http://schemas.openxmlformats.org/officeDocument/2006/relationships/hyperlink" Target="https://app.delvetool.com/projects/44123/chat/31049" TargetMode="External"/><Relationship Id="rId31" Type="http://schemas.openxmlformats.org/officeDocument/2006/relationships/hyperlink" Target="https://app.delvetool.com/projects/44123/chat/31049" TargetMode="External"/><Relationship Id="rId30" Type="http://schemas.openxmlformats.org/officeDocument/2006/relationships/hyperlink" Target="https://app.delvetool.com/projects/44123/chat/31049" TargetMode="External"/><Relationship Id="rId11" Type="http://schemas.openxmlformats.org/officeDocument/2006/relationships/hyperlink" Target="https://app.delvetool.com/projects/44123/chat/31049" TargetMode="External"/><Relationship Id="rId10" Type="http://schemas.openxmlformats.org/officeDocument/2006/relationships/hyperlink" Target="https://app.delvetool.com/projects/44123/chat/31049" TargetMode="External"/><Relationship Id="rId32" Type="http://schemas.openxmlformats.org/officeDocument/2006/relationships/drawing" Target="../drawings/drawing1.xml"/><Relationship Id="rId13" Type="http://schemas.openxmlformats.org/officeDocument/2006/relationships/hyperlink" Target="https://app.delvetool.com/projects/44123/chat/31049" TargetMode="External"/><Relationship Id="rId12" Type="http://schemas.openxmlformats.org/officeDocument/2006/relationships/hyperlink" Target="https://app.delvetool.com/projects/44123/chat/31049" TargetMode="External"/><Relationship Id="rId15" Type="http://schemas.openxmlformats.org/officeDocument/2006/relationships/hyperlink" Target="https://app.delvetool.com/projects/44123/chat/31049" TargetMode="External"/><Relationship Id="rId14" Type="http://schemas.openxmlformats.org/officeDocument/2006/relationships/hyperlink" Target="https://app.delvetool.com/projects/44123/chat/31049" TargetMode="External"/><Relationship Id="rId17" Type="http://schemas.openxmlformats.org/officeDocument/2006/relationships/hyperlink" Target="https://app.delvetool.com/projects/44123/chat/31049" TargetMode="External"/><Relationship Id="rId16" Type="http://schemas.openxmlformats.org/officeDocument/2006/relationships/hyperlink" Target="https://app.delvetool.com/projects/44123/chat/31049" TargetMode="External"/><Relationship Id="rId19" Type="http://schemas.openxmlformats.org/officeDocument/2006/relationships/hyperlink" Target="https://app.delvetool.com/projects/44123/chat/31049" TargetMode="External"/><Relationship Id="rId18" Type="http://schemas.openxmlformats.org/officeDocument/2006/relationships/hyperlink" Target="https://app.delvetool.com/projects/44123/chat/31049"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booking.com/" TargetMode="External"/><Relationship Id="rId2" Type="http://schemas.openxmlformats.org/officeDocument/2006/relationships/hyperlink" Target="http://booking.com/" TargetMode="External"/><Relationship Id="rId3" Type="http://schemas.openxmlformats.org/officeDocument/2006/relationships/hyperlink" Target="http://booking.com/"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booking.com/" TargetMode="External"/><Relationship Id="rId2" Type="http://schemas.openxmlformats.org/officeDocument/2006/relationships/hyperlink" Target="http://booking.com/" TargetMode="External"/><Relationship Id="rId3" Type="http://schemas.openxmlformats.org/officeDocument/2006/relationships/hyperlink" Target="http://booking.com" TargetMode="External"/><Relationship Id="rId4" Type="http://schemas.openxmlformats.org/officeDocument/2006/relationships/hyperlink" Target="http://booking.com"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booking.com/"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25"/>
    <col customWidth="1" min="3" max="3" width="28.88"/>
  </cols>
  <sheetData>
    <row r="1">
      <c r="A1" s="1" t="s">
        <v>0</v>
      </c>
      <c r="B1" s="1" t="s">
        <v>1</v>
      </c>
      <c r="C1" s="1" t="s">
        <v>2</v>
      </c>
    </row>
    <row r="2">
      <c r="A2" s="2" t="s">
        <v>3</v>
      </c>
      <c r="B2" s="3" t="s">
        <v>4</v>
      </c>
      <c r="C2" s="2" t="s">
        <v>5</v>
      </c>
    </row>
    <row r="3">
      <c r="A3" s="2" t="s">
        <v>6</v>
      </c>
      <c r="B3" s="3" t="s">
        <v>7</v>
      </c>
      <c r="C3" s="2" t="s">
        <v>5</v>
      </c>
    </row>
    <row r="4">
      <c r="A4" s="2" t="s">
        <v>8</v>
      </c>
      <c r="B4" s="3" t="s">
        <v>9</v>
      </c>
      <c r="C4" s="2" t="s">
        <v>5</v>
      </c>
    </row>
    <row r="5">
      <c r="A5" s="2" t="s">
        <v>10</v>
      </c>
      <c r="B5" s="3" t="s">
        <v>11</v>
      </c>
      <c r="C5" s="2" t="s">
        <v>5</v>
      </c>
    </row>
    <row r="6">
      <c r="A6" s="2" t="s">
        <v>12</v>
      </c>
      <c r="B6" s="3" t="s">
        <v>13</v>
      </c>
      <c r="C6" s="2" t="s">
        <v>14</v>
      </c>
    </row>
    <row r="7">
      <c r="A7" s="2" t="s">
        <v>15</v>
      </c>
      <c r="B7" s="3" t="s">
        <v>16</v>
      </c>
      <c r="C7" s="2" t="s">
        <v>14</v>
      </c>
    </row>
    <row r="8">
      <c r="A8" s="2" t="s">
        <v>17</v>
      </c>
      <c r="B8" s="3" t="s">
        <v>18</v>
      </c>
      <c r="C8" s="2" t="s">
        <v>14</v>
      </c>
    </row>
    <row r="9">
      <c r="A9" s="2" t="s">
        <v>19</v>
      </c>
      <c r="B9" s="3" t="s">
        <v>20</v>
      </c>
      <c r="C9" s="2" t="s">
        <v>21</v>
      </c>
    </row>
    <row r="10">
      <c r="A10" s="2" t="s">
        <v>22</v>
      </c>
      <c r="B10" s="3" t="s">
        <v>23</v>
      </c>
      <c r="C10" s="2" t="s">
        <v>24</v>
      </c>
    </row>
    <row r="11">
      <c r="A11" s="2" t="s">
        <v>25</v>
      </c>
      <c r="B11" s="3" t="s">
        <v>26</v>
      </c>
      <c r="C11" s="2" t="s">
        <v>24</v>
      </c>
    </row>
    <row r="12">
      <c r="A12" s="2" t="s">
        <v>27</v>
      </c>
      <c r="B12" s="3" t="s">
        <v>28</v>
      </c>
      <c r="C12" s="2" t="s">
        <v>24</v>
      </c>
    </row>
    <row r="13">
      <c r="A13" s="2" t="s">
        <v>29</v>
      </c>
      <c r="B13" s="3" t="s">
        <v>30</v>
      </c>
      <c r="C13" s="2" t="s">
        <v>31</v>
      </c>
    </row>
    <row r="14">
      <c r="A14" s="2" t="s">
        <v>32</v>
      </c>
      <c r="B14" s="3" t="s">
        <v>33</v>
      </c>
      <c r="C14" s="2" t="s">
        <v>34</v>
      </c>
    </row>
    <row r="15">
      <c r="A15" s="2" t="s">
        <v>35</v>
      </c>
      <c r="B15" s="3" t="s">
        <v>36</v>
      </c>
      <c r="C15" s="2" t="s">
        <v>37</v>
      </c>
      <c r="E15" s="4" t="s">
        <v>38</v>
      </c>
    </row>
    <row r="16">
      <c r="A16" s="2" t="s">
        <v>39</v>
      </c>
      <c r="B16" s="3" t="s">
        <v>40</v>
      </c>
      <c r="C16" s="2" t="s">
        <v>41</v>
      </c>
      <c r="E16" s="4" t="s">
        <v>42</v>
      </c>
    </row>
    <row r="17">
      <c r="A17" s="2" t="s">
        <v>43</v>
      </c>
      <c r="B17" s="3" t="s">
        <v>44</v>
      </c>
      <c r="C17" s="2" t="s">
        <v>45</v>
      </c>
      <c r="E17" s="4" t="s">
        <v>46</v>
      </c>
    </row>
    <row r="18">
      <c r="A18" s="2" t="s">
        <v>47</v>
      </c>
      <c r="B18" s="3" t="s">
        <v>48</v>
      </c>
      <c r="C18" s="2" t="s">
        <v>49</v>
      </c>
      <c r="E18" s="4" t="s">
        <v>50</v>
      </c>
    </row>
    <row r="19">
      <c r="A19" s="2" t="s">
        <v>51</v>
      </c>
      <c r="B19" s="3" t="s">
        <v>52</v>
      </c>
      <c r="C19" s="2" t="s">
        <v>53</v>
      </c>
      <c r="E19" s="4" t="s">
        <v>54</v>
      </c>
    </row>
    <row r="20">
      <c r="A20" s="2" t="s">
        <v>55</v>
      </c>
      <c r="B20" s="3" t="s">
        <v>56</v>
      </c>
      <c r="C20" s="2" t="s">
        <v>57</v>
      </c>
      <c r="E20" s="4" t="s">
        <v>57</v>
      </c>
    </row>
    <row r="21">
      <c r="A21" s="2" t="s">
        <v>58</v>
      </c>
      <c r="B21" s="3" t="s">
        <v>59</v>
      </c>
      <c r="C21" s="2" t="s">
        <v>57</v>
      </c>
      <c r="E21" s="4" t="s">
        <v>60</v>
      </c>
    </row>
    <row r="22">
      <c r="A22" s="2" t="s">
        <v>61</v>
      </c>
      <c r="B22" s="3" t="s">
        <v>62</v>
      </c>
      <c r="C22" s="2" t="s">
        <v>45</v>
      </c>
      <c r="E22" s="4" t="s">
        <v>63</v>
      </c>
    </row>
    <row r="23">
      <c r="A23" s="2" t="s">
        <v>64</v>
      </c>
      <c r="B23" s="3" t="s">
        <v>65</v>
      </c>
      <c r="C23" s="2" t="s">
        <v>45</v>
      </c>
    </row>
    <row r="24">
      <c r="A24" s="2" t="s">
        <v>66</v>
      </c>
      <c r="B24" s="3" t="s">
        <v>67</v>
      </c>
      <c r="C24" s="2" t="s">
        <v>60</v>
      </c>
    </row>
    <row r="25">
      <c r="A25" s="2" t="s">
        <v>68</v>
      </c>
      <c r="B25" s="3" t="s">
        <v>69</v>
      </c>
      <c r="C25" s="2" t="s">
        <v>63</v>
      </c>
    </row>
    <row r="26">
      <c r="A26" s="2" t="s">
        <v>70</v>
      </c>
      <c r="B26" s="3" t="s">
        <v>71</v>
      </c>
      <c r="C26" s="2" t="s">
        <v>5</v>
      </c>
    </row>
    <row r="27">
      <c r="A27" s="2" t="s">
        <v>72</v>
      </c>
      <c r="B27" s="3" t="s">
        <v>73</v>
      </c>
      <c r="C27" s="2" t="s">
        <v>53</v>
      </c>
    </row>
    <row r="28">
      <c r="A28" s="2" t="s">
        <v>74</v>
      </c>
      <c r="B28" s="3" t="s">
        <v>75</v>
      </c>
      <c r="C28" s="2" t="s">
        <v>57</v>
      </c>
    </row>
    <row r="29">
      <c r="A29" s="2" t="s">
        <v>76</v>
      </c>
      <c r="B29" s="3" t="s">
        <v>77</v>
      </c>
      <c r="C29" s="2" t="s">
        <v>21</v>
      </c>
    </row>
    <row r="30">
      <c r="A30" s="2" t="s">
        <v>78</v>
      </c>
      <c r="B30" s="3" t="s">
        <v>79</v>
      </c>
      <c r="C30" s="2" t="s">
        <v>45</v>
      </c>
    </row>
    <row r="31">
      <c r="A31" s="2" t="s">
        <v>80</v>
      </c>
      <c r="B31" s="3" t="s">
        <v>81</v>
      </c>
      <c r="C31" s="2" t="s">
        <v>82</v>
      </c>
    </row>
    <row r="32">
      <c r="A32" s="2" t="s">
        <v>83</v>
      </c>
      <c r="B32" s="3" t="s">
        <v>84</v>
      </c>
      <c r="C32" s="2" t="s">
        <v>31</v>
      </c>
    </row>
  </sheetData>
  <hyperlinks>
    <hyperlink r:id="rId1" location="Snippet_7415350" ref="B2"/>
    <hyperlink r:id="rId2" location="Snippet_7415021" ref="B3"/>
    <hyperlink r:id="rId3" location="Snippet_7415016" ref="B4"/>
    <hyperlink r:id="rId4" location="Snippet_7414949" ref="B5"/>
    <hyperlink r:id="rId5" location="Snippet_7444172" ref="B6"/>
    <hyperlink r:id="rId6" location="Snippet_7455271" ref="B7"/>
    <hyperlink r:id="rId7" location="Snippet_7444181" ref="B8"/>
    <hyperlink r:id="rId8" location="Snippet_7501345" ref="B9"/>
    <hyperlink r:id="rId9" location="Snippet_7499696" ref="B10"/>
    <hyperlink r:id="rId10" location="Snippet_7499303" ref="B11"/>
    <hyperlink r:id="rId11" location="Snippet_7499299" ref="B12"/>
    <hyperlink r:id="rId12" location="Snippet_7524065" ref="B13"/>
    <hyperlink r:id="rId13" location="Snippet_7501452" ref="B14"/>
    <hyperlink r:id="rId14" location="Snippet_7517074" ref="B15"/>
    <hyperlink r:id="rId15" location="Snippet_7510215" ref="B16"/>
    <hyperlink r:id="rId16" location="Snippet_7518035" ref="B17"/>
    <hyperlink r:id="rId17" location="Snippet_7516696" ref="B18"/>
    <hyperlink r:id="rId18" location="Snippet_7519013" ref="B19"/>
    <hyperlink r:id="rId19" location="Snippet_7415071" ref="B20"/>
    <hyperlink r:id="rId20" location="Snippet_7415145" ref="B21"/>
    <hyperlink r:id="rId21" location="Snippet_7518329" ref="B22"/>
    <hyperlink r:id="rId22" location="Snippet_7518144" ref="B23"/>
    <hyperlink r:id="rId23" location="Snippet_7420205" ref="B24"/>
    <hyperlink r:id="rId24" location="Snippet_7420083" ref="B25"/>
    <hyperlink r:id="rId25" location="Snippet_7414968" ref="B26"/>
    <hyperlink r:id="rId26" location="Snippet_7519025" ref="B27"/>
    <hyperlink r:id="rId27" location="Snippet_7415160" ref="B28"/>
    <hyperlink r:id="rId28" location="Snippet_7501132" ref="B29"/>
    <hyperlink r:id="rId29" location="Snippet_7518547" ref="B30"/>
    <hyperlink r:id="rId30" location="Snippet_7524006" ref="B31"/>
    <hyperlink r:id="rId31" location="Snippet_7524078" ref="B32"/>
  </hyperlinks>
  <drawing r:id="rId3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13"/>
    <col customWidth="1" min="2" max="2" width="41.0"/>
    <col customWidth="1" min="4" max="4" width="26.63"/>
  </cols>
  <sheetData>
    <row r="1">
      <c r="A1" s="5" t="s">
        <v>85</v>
      </c>
      <c r="B1" s="5" t="s">
        <v>86</v>
      </c>
      <c r="C1" s="5" t="s">
        <v>1</v>
      </c>
      <c r="D1" s="5" t="s">
        <v>2</v>
      </c>
    </row>
    <row r="2">
      <c r="A2" s="4" t="s">
        <v>87</v>
      </c>
      <c r="B2" s="4" t="s">
        <v>3</v>
      </c>
      <c r="C2" s="4" t="s">
        <v>88</v>
      </c>
      <c r="D2" s="4" t="s">
        <v>5</v>
      </c>
    </row>
    <row r="3">
      <c r="B3" s="4" t="s">
        <v>27</v>
      </c>
      <c r="C3" s="4" t="s">
        <v>89</v>
      </c>
      <c r="D3" s="4" t="s">
        <v>24</v>
      </c>
    </row>
    <row r="4">
      <c r="B4" s="4" t="s">
        <v>47</v>
      </c>
      <c r="C4" s="4" t="s">
        <v>90</v>
      </c>
      <c r="D4" s="4" t="s">
        <v>49</v>
      </c>
    </row>
    <row r="5">
      <c r="B5" s="4" t="s">
        <v>83</v>
      </c>
      <c r="C5" s="4" t="s">
        <v>91</v>
      </c>
      <c r="D5" s="4" t="s">
        <v>31</v>
      </c>
    </row>
    <row r="6">
      <c r="A6" s="4" t="s">
        <v>92</v>
      </c>
      <c r="B6" s="4" t="s">
        <v>8</v>
      </c>
      <c r="C6" s="4" t="s">
        <v>93</v>
      </c>
      <c r="D6" s="4" t="s">
        <v>5</v>
      </c>
    </row>
    <row r="7">
      <c r="B7" s="4" t="s">
        <v>10</v>
      </c>
      <c r="C7" s="4" t="s">
        <v>94</v>
      </c>
      <c r="D7" s="4" t="s">
        <v>5</v>
      </c>
    </row>
    <row r="8">
      <c r="B8" s="4" t="s">
        <v>19</v>
      </c>
      <c r="C8" s="4" t="s">
        <v>95</v>
      </c>
      <c r="D8" s="4" t="s">
        <v>21</v>
      </c>
    </row>
    <row r="9">
      <c r="B9" s="4" t="s">
        <v>35</v>
      </c>
      <c r="C9" s="4" t="s">
        <v>96</v>
      </c>
      <c r="D9" s="4" t="s">
        <v>37</v>
      </c>
    </row>
    <row r="10">
      <c r="B10" s="4" t="s">
        <v>43</v>
      </c>
      <c r="C10" s="4" t="s">
        <v>97</v>
      </c>
      <c r="D10" s="4" t="s">
        <v>45</v>
      </c>
    </row>
    <row r="11">
      <c r="B11" s="4" t="s">
        <v>51</v>
      </c>
      <c r="C11" s="4" t="s">
        <v>98</v>
      </c>
      <c r="D11" s="4" t="s">
        <v>53</v>
      </c>
    </row>
    <row r="12">
      <c r="A12" s="4" t="s">
        <v>99</v>
      </c>
      <c r="B12" s="4" t="s">
        <v>12</v>
      </c>
      <c r="C12" s="4" t="s">
        <v>100</v>
      </c>
      <c r="D12" s="4" t="s">
        <v>14</v>
      </c>
    </row>
    <row r="13">
      <c r="B13" s="4" t="s">
        <v>15</v>
      </c>
      <c r="C13" s="4" t="s">
        <v>101</v>
      </c>
      <c r="D13" s="4" t="s">
        <v>14</v>
      </c>
    </row>
    <row r="14">
      <c r="B14" s="4" t="s">
        <v>39</v>
      </c>
      <c r="C14" s="4" t="s">
        <v>102</v>
      </c>
      <c r="D14" s="4" t="s">
        <v>41</v>
      </c>
    </row>
    <row r="15">
      <c r="B15" s="4" t="s">
        <v>64</v>
      </c>
      <c r="C15" s="4" t="s">
        <v>103</v>
      </c>
      <c r="D15" s="4" t="s">
        <v>45</v>
      </c>
    </row>
    <row r="16">
      <c r="A16" s="4" t="s">
        <v>104</v>
      </c>
      <c r="B16" s="4" t="s">
        <v>6</v>
      </c>
      <c r="C16" s="4" t="s">
        <v>105</v>
      </c>
      <c r="D16" s="4" t="s">
        <v>5</v>
      </c>
    </row>
    <row r="17">
      <c r="B17" s="4" t="s">
        <v>17</v>
      </c>
      <c r="C17" s="4" t="s">
        <v>106</v>
      </c>
      <c r="D17" s="4" t="s">
        <v>14</v>
      </c>
    </row>
    <row r="18">
      <c r="B18" s="4" t="s">
        <v>22</v>
      </c>
      <c r="C18" s="4" t="s">
        <v>107</v>
      </c>
      <c r="D18" s="4" t="s">
        <v>24</v>
      </c>
    </row>
    <row r="19">
      <c r="B19" s="4" t="s">
        <v>76</v>
      </c>
      <c r="C19" s="4" t="s">
        <v>108</v>
      </c>
      <c r="D19" s="4" t="s">
        <v>21</v>
      </c>
    </row>
    <row r="20">
      <c r="A20" s="4" t="s">
        <v>109</v>
      </c>
      <c r="B20" s="4" t="s">
        <v>29</v>
      </c>
      <c r="C20" s="4" t="s">
        <v>110</v>
      </c>
      <c r="D20" s="4" t="s">
        <v>31</v>
      </c>
    </row>
    <row r="21">
      <c r="B21" s="4" t="s">
        <v>32</v>
      </c>
      <c r="C21" s="4" t="s">
        <v>111</v>
      </c>
      <c r="D21" s="4" t="s">
        <v>34</v>
      </c>
    </row>
    <row r="22">
      <c r="B22" s="4" t="s">
        <v>43</v>
      </c>
      <c r="C22" s="4" t="s">
        <v>97</v>
      </c>
      <c r="D22" s="4" t="s">
        <v>45</v>
      </c>
    </row>
    <row r="23">
      <c r="A23" s="4" t="s">
        <v>112</v>
      </c>
      <c r="B23" s="4" t="s">
        <v>25</v>
      </c>
      <c r="C23" s="4" t="s">
        <v>113</v>
      </c>
      <c r="D23" s="4" t="s">
        <v>24</v>
      </c>
    </row>
    <row r="24">
      <c r="B24" s="4" t="s">
        <v>43</v>
      </c>
      <c r="C24" s="4" t="s">
        <v>97</v>
      </c>
      <c r="D24" s="4" t="s">
        <v>45</v>
      </c>
    </row>
    <row r="25">
      <c r="A25" s="4" t="s">
        <v>114</v>
      </c>
      <c r="B25" s="4" t="s">
        <v>55</v>
      </c>
      <c r="C25" s="4" t="s">
        <v>115</v>
      </c>
      <c r="D25" s="4" t="s">
        <v>57</v>
      </c>
    </row>
    <row r="26">
      <c r="B26" s="4" t="s">
        <v>58</v>
      </c>
      <c r="C26" s="4" t="s">
        <v>116</v>
      </c>
      <c r="D26" s="4" t="s">
        <v>57</v>
      </c>
    </row>
    <row r="27">
      <c r="B27" s="4" t="s">
        <v>61</v>
      </c>
      <c r="C27" s="4" t="s">
        <v>117</v>
      </c>
      <c r="D27" s="4" t="s">
        <v>45</v>
      </c>
    </row>
    <row r="28">
      <c r="B28" s="4" t="s">
        <v>74</v>
      </c>
      <c r="C28" s="4" t="s">
        <v>118</v>
      </c>
      <c r="D28" s="4" t="s">
        <v>57</v>
      </c>
    </row>
    <row r="29">
      <c r="A29" s="4" t="s">
        <v>119</v>
      </c>
      <c r="B29" s="4" t="s">
        <v>66</v>
      </c>
      <c r="C29" s="4" t="s">
        <v>120</v>
      </c>
      <c r="D29" s="4" t="s">
        <v>60</v>
      </c>
    </row>
    <row r="30">
      <c r="B30" s="4" t="s">
        <v>68</v>
      </c>
      <c r="C30" s="4" t="s">
        <v>121</v>
      </c>
      <c r="D30" s="4" t="s">
        <v>63</v>
      </c>
    </row>
    <row r="31">
      <c r="B31" s="4" t="s">
        <v>72</v>
      </c>
      <c r="C31" s="4" t="s">
        <v>122</v>
      </c>
      <c r="D31" s="4" t="s">
        <v>53</v>
      </c>
    </row>
    <row r="32">
      <c r="A32" s="4" t="s">
        <v>123</v>
      </c>
      <c r="B32" s="4" t="s">
        <v>70</v>
      </c>
      <c r="C32" s="4" t="s">
        <v>124</v>
      </c>
      <c r="D32" s="4" t="s">
        <v>5</v>
      </c>
    </row>
    <row r="33">
      <c r="B33" s="4" t="s">
        <v>78</v>
      </c>
      <c r="C33" s="4" t="s">
        <v>125</v>
      </c>
      <c r="D33" s="4" t="s">
        <v>45</v>
      </c>
    </row>
    <row r="34">
      <c r="B34" s="4" t="s">
        <v>80</v>
      </c>
      <c r="C34" s="4" t="s">
        <v>126</v>
      </c>
      <c r="D34" s="4" t="s">
        <v>82</v>
      </c>
    </row>
    <row r="37">
      <c r="D37" s="4" t="s">
        <v>127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32.38"/>
    <col customWidth="1" min="3" max="5" width="34.5"/>
    <col customWidth="1" min="6" max="6" width="26.75"/>
  </cols>
  <sheetData>
    <row r="1">
      <c r="A1" s="5" t="s">
        <v>128</v>
      </c>
      <c r="B1" s="6" t="s">
        <v>129</v>
      </c>
      <c r="C1" s="7" t="s">
        <v>2</v>
      </c>
      <c r="D1" s="7"/>
      <c r="E1" s="8"/>
      <c r="G1" s="5"/>
      <c r="H1" s="5"/>
      <c r="I1" s="5"/>
    </row>
    <row r="2">
      <c r="A2" s="4" t="s">
        <v>130</v>
      </c>
      <c r="B2" s="4" t="s">
        <v>131</v>
      </c>
      <c r="C2" s="9" t="s">
        <v>57</v>
      </c>
      <c r="D2" s="9"/>
      <c r="E2" s="10"/>
    </row>
    <row r="3">
      <c r="A3" s="4" t="s">
        <v>132</v>
      </c>
      <c r="B3" s="4" t="s">
        <v>133</v>
      </c>
      <c r="C3" s="9" t="s">
        <v>57</v>
      </c>
      <c r="D3" s="9"/>
      <c r="E3" s="10"/>
    </row>
    <row r="4">
      <c r="A4" s="4" t="s">
        <v>134</v>
      </c>
      <c r="B4" s="4" t="s">
        <v>135</v>
      </c>
      <c r="C4" s="9" t="s">
        <v>57</v>
      </c>
      <c r="D4" s="9"/>
      <c r="E4" s="10"/>
    </row>
    <row r="5">
      <c r="A5" s="4" t="s">
        <v>134</v>
      </c>
      <c r="B5" s="4" t="s">
        <v>136</v>
      </c>
      <c r="C5" s="9" t="s">
        <v>57</v>
      </c>
      <c r="D5" s="9"/>
      <c r="E5" s="10"/>
    </row>
    <row r="6">
      <c r="A6" s="4" t="s">
        <v>134</v>
      </c>
      <c r="B6" s="4" t="s">
        <v>137</v>
      </c>
      <c r="C6" s="9" t="s">
        <v>57</v>
      </c>
      <c r="D6" s="9"/>
      <c r="E6" s="10"/>
    </row>
    <row r="7">
      <c r="A7" s="4" t="s">
        <v>134</v>
      </c>
      <c r="B7" s="4" t="s">
        <v>138</v>
      </c>
      <c r="C7" s="9" t="s">
        <v>57</v>
      </c>
      <c r="D7" s="9"/>
      <c r="E7" s="10"/>
    </row>
    <row r="8">
      <c r="A8" s="4" t="s">
        <v>134</v>
      </c>
      <c r="B8" s="4" t="s">
        <v>139</v>
      </c>
      <c r="C8" s="9" t="s">
        <v>57</v>
      </c>
      <c r="D8" s="9"/>
      <c r="E8" s="10"/>
    </row>
    <row r="9">
      <c r="A9" s="4" t="s">
        <v>130</v>
      </c>
      <c r="B9" s="4" t="s">
        <v>140</v>
      </c>
      <c r="C9" s="9" t="s">
        <v>57</v>
      </c>
      <c r="D9" s="9"/>
      <c r="E9" s="10"/>
    </row>
    <row r="10">
      <c r="A10" s="4" t="s">
        <v>134</v>
      </c>
      <c r="B10" s="4" t="s">
        <v>141</v>
      </c>
      <c r="C10" s="9" t="s">
        <v>57</v>
      </c>
      <c r="D10" s="9"/>
      <c r="E10" s="10"/>
    </row>
    <row r="11">
      <c r="A11" s="4" t="s">
        <v>130</v>
      </c>
      <c r="B11" s="4" t="s">
        <v>142</v>
      </c>
      <c r="C11" s="9" t="s">
        <v>57</v>
      </c>
      <c r="D11" s="9"/>
      <c r="E11" s="10"/>
    </row>
    <row r="12">
      <c r="A12" s="4" t="s">
        <v>130</v>
      </c>
      <c r="B12" s="4" t="s">
        <v>143</v>
      </c>
      <c r="C12" s="9" t="s">
        <v>57</v>
      </c>
      <c r="D12" s="9"/>
      <c r="E12" s="10"/>
    </row>
    <row r="13">
      <c r="A13" s="4" t="s">
        <v>132</v>
      </c>
      <c r="B13" s="4" t="s">
        <v>144</v>
      </c>
      <c r="C13" s="9" t="s">
        <v>57</v>
      </c>
      <c r="D13" s="9"/>
      <c r="E13" s="10"/>
    </row>
    <row r="14">
      <c r="A14" s="4" t="s">
        <v>130</v>
      </c>
      <c r="B14" s="4" t="s">
        <v>145</v>
      </c>
      <c r="C14" s="9" t="s">
        <v>57</v>
      </c>
      <c r="D14" s="9"/>
      <c r="E14" s="10"/>
    </row>
    <row r="15">
      <c r="A15" s="4" t="s">
        <v>130</v>
      </c>
      <c r="B15" s="4" t="s">
        <v>146</v>
      </c>
      <c r="C15" s="9" t="s">
        <v>57</v>
      </c>
      <c r="D15" s="9"/>
      <c r="E15" s="10"/>
    </row>
    <row r="16">
      <c r="A16" s="4" t="s">
        <v>130</v>
      </c>
      <c r="B16" s="4" t="s">
        <v>147</v>
      </c>
      <c r="C16" s="9" t="s">
        <v>57</v>
      </c>
      <c r="D16" s="9"/>
      <c r="E16" s="10"/>
    </row>
    <row r="17">
      <c r="A17" s="4" t="s">
        <v>132</v>
      </c>
      <c r="B17" s="4" t="s">
        <v>148</v>
      </c>
      <c r="C17" s="9" t="s">
        <v>38</v>
      </c>
      <c r="D17" s="9"/>
      <c r="E17" s="10"/>
    </row>
    <row r="18">
      <c r="A18" s="4" t="s">
        <v>132</v>
      </c>
      <c r="B18" s="4" t="s">
        <v>149</v>
      </c>
      <c r="C18" s="9" t="s">
        <v>150</v>
      </c>
      <c r="D18" s="9"/>
      <c r="E18" s="10"/>
    </row>
    <row r="19">
      <c r="A19" s="4" t="s">
        <v>132</v>
      </c>
      <c r="B19" s="4" t="s">
        <v>151</v>
      </c>
      <c r="C19" s="9" t="s">
        <v>150</v>
      </c>
      <c r="D19" s="9"/>
      <c r="E19" s="10"/>
    </row>
    <row r="20">
      <c r="A20" s="4" t="s">
        <v>132</v>
      </c>
      <c r="B20" s="4" t="s">
        <v>152</v>
      </c>
      <c r="C20" s="9" t="s">
        <v>45</v>
      </c>
      <c r="D20" s="9"/>
      <c r="E20" s="10"/>
    </row>
    <row r="21">
      <c r="A21" s="4" t="s">
        <v>134</v>
      </c>
      <c r="B21" s="4" t="s">
        <v>153</v>
      </c>
      <c r="C21" s="9" t="s">
        <v>45</v>
      </c>
      <c r="D21" s="9"/>
      <c r="E21" s="10"/>
    </row>
    <row r="22">
      <c r="A22" s="4" t="s">
        <v>130</v>
      </c>
      <c r="B22" s="4" t="s">
        <v>154</v>
      </c>
      <c r="C22" s="9" t="s">
        <v>37</v>
      </c>
      <c r="D22" s="9"/>
      <c r="E22" s="10"/>
    </row>
    <row r="23">
      <c r="A23" s="4" t="s">
        <v>130</v>
      </c>
      <c r="B23" s="4" t="s">
        <v>155</v>
      </c>
      <c r="C23" s="9" t="s">
        <v>37</v>
      </c>
      <c r="D23" s="9"/>
      <c r="E23" s="10"/>
    </row>
    <row r="24">
      <c r="A24" s="4" t="s">
        <v>130</v>
      </c>
      <c r="B24" s="4" t="s">
        <v>156</v>
      </c>
      <c r="C24" s="9" t="s">
        <v>37</v>
      </c>
      <c r="D24" s="9"/>
      <c r="E24" s="10"/>
    </row>
    <row r="25">
      <c r="A25" s="4" t="s">
        <v>132</v>
      </c>
      <c r="B25" s="4" t="s">
        <v>157</v>
      </c>
      <c r="C25" s="9" t="s">
        <v>49</v>
      </c>
      <c r="D25" s="9"/>
      <c r="E25" s="10"/>
    </row>
    <row r="26">
      <c r="A26" s="4" t="s">
        <v>158</v>
      </c>
      <c r="B26" s="4" t="s">
        <v>159</v>
      </c>
      <c r="C26" s="9" t="s">
        <v>49</v>
      </c>
      <c r="D26" s="9"/>
      <c r="E26" s="10"/>
    </row>
    <row r="27">
      <c r="A27" s="4" t="s">
        <v>158</v>
      </c>
      <c r="B27" s="4" t="s">
        <v>160</v>
      </c>
      <c r="C27" s="9" t="s">
        <v>49</v>
      </c>
      <c r="D27" s="9"/>
      <c r="E27" s="10"/>
    </row>
    <row r="28">
      <c r="A28" s="4" t="s">
        <v>134</v>
      </c>
      <c r="B28" s="4" t="s">
        <v>161</v>
      </c>
      <c r="C28" s="9" t="s">
        <v>41</v>
      </c>
      <c r="D28" s="9"/>
      <c r="E28" s="10"/>
    </row>
    <row r="29">
      <c r="A29" s="4" t="s">
        <v>130</v>
      </c>
      <c r="B29" s="4" t="s">
        <v>162</v>
      </c>
      <c r="C29" s="9" t="s">
        <v>34</v>
      </c>
      <c r="D29" s="9"/>
      <c r="E29" s="10"/>
    </row>
    <row r="30">
      <c r="A30" s="4" t="s">
        <v>134</v>
      </c>
      <c r="B30" s="4" t="s">
        <v>163</v>
      </c>
      <c r="C30" s="9" t="s">
        <v>34</v>
      </c>
      <c r="D30" s="9"/>
      <c r="E30" s="10"/>
    </row>
    <row r="31">
      <c r="A31" s="4" t="s">
        <v>130</v>
      </c>
      <c r="B31" s="4" t="s">
        <v>164</v>
      </c>
      <c r="C31" s="9" t="s">
        <v>34</v>
      </c>
      <c r="D31" s="9"/>
      <c r="E31" s="10"/>
    </row>
    <row r="32">
      <c r="A32" s="4" t="s">
        <v>134</v>
      </c>
      <c r="B32" s="4" t="s">
        <v>165</v>
      </c>
      <c r="C32" s="9" t="s">
        <v>21</v>
      </c>
      <c r="D32" s="9"/>
      <c r="E32" s="10"/>
    </row>
    <row r="33">
      <c r="A33" s="4" t="s">
        <v>132</v>
      </c>
      <c r="B33" s="4" t="s">
        <v>166</v>
      </c>
      <c r="C33" s="9" t="s">
        <v>21</v>
      </c>
      <c r="D33" s="9"/>
      <c r="E33" s="10"/>
    </row>
    <row r="34">
      <c r="A34" s="4" t="s">
        <v>134</v>
      </c>
      <c r="B34" s="4" t="s">
        <v>167</v>
      </c>
      <c r="C34" s="9" t="s">
        <v>21</v>
      </c>
      <c r="D34" s="9"/>
      <c r="E34" s="10"/>
    </row>
    <row r="35">
      <c r="A35" s="4" t="s">
        <v>158</v>
      </c>
      <c r="B35" s="4" t="s">
        <v>168</v>
      </c>
      <c r="C35" s="9" t="s">
        <v>21</v>
      </c>
      <c r="D35" s="9"/>
      <c r="E35" s="10"/>
    </row>
    <row r="36">
      <c r="A36" s="4" t="s">
        <v>158</v>
      </c>
      <c r="B36" s="4" t="s">
        <v>169</v>
      </c>
      <c r="C36" s="9" t="s">
        <v>21</v>
      </c>
      <c r="D36" s="9"/>
      <c r="E36" s="10"/>
    </row>
    <row r="37">
      <c r="A37" s="4" t="s">
        <v>158</v>
      </c>
      <c r="B37" s="4" t="s">
        <v>170</v>
      </c>
      <c r="C37" s="9" t="s">
        <v>24</v>
      </c>
      <c r="D37" s="9"/>
      <c r="E37" s="10"/>
    </row>
    <row r="38">
      <c r="A38" s="4" t="s">
        <v>130</v>
      </c>
      <c r="B38" s="4" t="s">
        <v>171</v>
      </c>
      <c r="C38" s="9" t="s">
        <v>24</v>
      </c>
      <c r="D38" s="9"/>
      <c r="E38" s="10"/>
    </row>
    <row r="39">
      <c r="A39" s="4" t="s">
        <v>158</v>
      </c>
      <c r="B39" s="4" t="s">
        <v>172</v>
      </c>
      <c r="C39" s="9" t="s">
        <v>173</v>
      </c>
      <c r="D39" s="9"/>
      <c r="E39" s="10"/>
    </row>
    <row r="40">
      <c r="A40" s="4" t="s">
        <v>132</v>
      </c>
      <c r="B40" s="4" t="s">
        <v>174</v>
      </c>
      <c r="C40" s="9" t="s">
        <v>175</v>
      </c>
      <c r="D40" s="9"/>
      <c r="E40" s="10"/>
    </row>
    <row r="41">
      <c r="A41" s="4" t="s">
        <v>158</v>
      </c>
      <c r="B41" s="4" t="s">
        <v>176</v>
      </c>
      <c r="C41" s="9" t="s">
        <v>175</v>
      </c>
      <c r="D41" s="9"/>
      <c r="E41" s="10"/>
    </row>
    <row r="42">
      <c r="A42" s="4" t="s">
        <v>158</v>
      </c>
      <c r="B42" s="4" t="s">
        <v>177</v>
      </c>
      <c r="C42" s="9" t="s">
        <v>5</v>
      </c>
      <c r="D42" s="9"/>
      <c r="E42" s="10"/>
    </row>
    <row r="43">
      <c r="A43" s="4" t="s">
        <v>130</v>
      </c>
      <c r="B43" s="4" t="s">
        <v>178</v>
      </c>
      <c r="C43" s="9" t="s">
        <v>5</v>
      </c>
      <c r="D43" s="9"/>
      <c r="E43" s="10"/>
    </row>
    <row r="44">
      <c r="A44" s="4" t="s">
        <v>132</v>
      </c>
      <c r="B44" s="4" t="s">
        <v>179</v>
      </c>
      <c r="C44" s="9" t="s">
        <v>5</v>
      </c>
      <c r="D44" s="9"/>
      <c r="E44" s="10"/>
    </row>
    <row r="45">
      <c r="A45" s="4" t="s">
        <v>132</v>
      </c>
      <c r="B45" s="4" t="s">
        <v>180</v>
      </c>
      <c r="C45" s="9" t="s">
        <v>5</v>
      </c>
      <c r="D45" s="9"/>
      <c r="E45" s="10"/>
    </row>
    <row r="46">
      <c r="A46" s="4" t="s">
        <v>132</v>
      </c>
      <c r="B46" s="4" t="s">
        <v>181</v>
      </c>
      <c r="C46" s="9" t="s">
        <v>5</v>
      </c>
      <c r="D46" s="9"/>
      <c r="E46" s="10"/>
    </row>
    <row r="47">
      <c r="C47" s="11"/>
      <c r="D47" s="11"/>
      <c r="E47" s="12"/>
    </row>
    <row r="48">
      <c r="A48" s="13" t="s">
        <v>182</v>
      </c>
      <c r="B48" s="13" t="s">
        <v>183</v>
      </c>
      <c r="C48" s="14" t="s">
        <v>184</v>
      </c>
      <c r="D48" s="15" t="s">
        <v>185</v>
      </c>
    </row>
    <row r="49">
      <c r="A49" s="4" t="s">
        <v>57</v>
      </c>
      <c r="B49" s="10" t="s">
        <v>186</v>
      </c>
      <c r="C49" s="10" t="s">
        <v>187</v>
      </c>
      <c r="D49" s="9" t="s">
        <v>131</v>
      </c>
    </row>
    <row r="50">
      <c r="C50" s="12"/>
      <c r="D50" s="9" t="s">
        <v>133</v>
      </c>
    </row>
    <row r="51">
      <c r="C51" s="12"/>
      <c r="D51" s="9" t="s">
        <v>135</v>
      </c>
    </row>
    <row r="52">
      <c r="C52" s="12"/>
      <c r="D52" s="9" t="s">
        <v>136</v>
      </c>
    </row>
    <row r="53">
      <c r="C53" s="12"/>
      <c r="D53" s="9" t="s">
        <v>137</v>
      </c>
    </row>
    <row r="54">
      <c r="C54" s="12"/>
      <c r="D54" s="9" t="s">
        <v>138</v>
      </c>
    </row>
    <row r="55">
      <c r="C55" s="12"/>
      <c r="D55" s="9" t="s">
        <v>139</v>
      </c>
    </row>
    <row r="56">
      <c r="C56" s="12"/>
      <c r="D56" s="9" t="s">
        <v>140</v>
      </c>
    </row>
    <row r="57">
      <c r="C57" s="12"/>
      <c r="D57" s="9" t="s">
        <v>141</v>
      </c>
    </row>
    <row r="58">
      <c r="C58" s="12"/>
      <c r="D58" s="9" t="s">
        <v>142</v>
      </c>
    </row>
    <row r="59">
      <c r="C59" s="12"/>
      <c r="D59" s="9" t="s">
        <v>143</v>
      </c>
    </row>
    <row r="60">
      <c r="C60" s="12"/>
      <c r="D60" s="9" t="s">
        <v>144</v>
      </c>
    </row>
    <row r="61">
      <c r="C61" s="12"/>
      <c r="D61" s="9" t="s">
        <v>145</v>
      </c>
    </row>
    <row r="62">
      <c r="C62" s="12"/>
      <c r="D62" s="9" t="s">
        <v>146</v>
      </c>
    </row>
    <row r="63">
      <c r="C63" s="12"/>
      <c r="D63" s="9" t="s">
        <v>147</v>
      </c>
    </row>
    <row r="64">
      <c r="A64" s="4" t="s">
        <v>38</v>
      </c>
      <c r="B64" s="4" t="s">
        <v>188</v>
      </c>
      <c r="C64" s="10" t="s">
        <v>189</v>
      </c>
      <c r="D64" s="9" t="s">
        <v>148</v>
      </c>
    </row>
    <row r="65">
      <c r="A65" s="4" t="s">
        <v>150</v>
      </c>
      <c r="B65" s="4" t="s">
        <v>188</v>
      </c>
      <c r="C65" s="10" t="s">
        <v>190</v>
      </c>
      <c r="D65" s="9" t="s">
        <v>149</v>
      </c>
    </row>
    <row r="66">
      <c r="C66" s="12"/>
      <c r="D66" s="9" t="s">
        <v>151</v>
      </c>
    </row>
    <row r="67">
      <c r="A67" s="4" t="s">
        <v>45</v>
      </c>
      <c r="B67" s="4" t="s">
        <v>191</v>
      </c>
      <c r="C67" s="10" t="s">
        <v>192</v>
      </c>
      <c r="D67" s="9" t="s">
        <v>152</v>
      </c>
    </row>
    <row r="68">
      <c r="C68" s="12"/>
      <c r="D68" s="9" t="s">
        <v>153</v>
      </c>
    </row>
    <row r="69">
      <c r="A69" s="4" t="s">
        <v>37</v>
      </c>
      <c r="B69" s="4" t="s">
        <v>130</v>
      </c>
      <c r="C69" s="10" t="s">
        <v>193</v>
      </c>
      <c r="D69" s="9" t="s">
        <v>154</v>
      </c>
    </row>
    <row r="70">
      <c r="C70" s="12"/>
      <c r="D70" s="9" t="s">
        <v>155</v>
      </c>
    </row>
    <row r="71">
      <c r="C71" s="12"/>
      <c r="D71" s="9" t="s">
        <v>156</v>
      </c>
    </row>
    <row r="72">
      <c r="A72" s="4" t="s">
        <v>49</v>
      </c>
      <c r="B72" s="4" t="s">
        <v>194</v>
      </c>
      <c r="C72" s="10" t="s">
        <v>195</v>
      </c>
      <c r="D72" s="9" t="s">
        <v>157</v>
      </c>
    </row>
    <row r="73">
      <c r="C73" s="12"/>
      <c r="D73" s="9" t="s">
        <v>159</v>
      </c>
    </row>
    <row r="74">
      <c r="C74" s="12"/>
      <c r="D74" s="9" t="s">
        <v>160</v>
      </c>
    </row>
    <row r="75">
      <c r="A75" s="4" t="s">
        <v>41</v>
      </c>
      <c r="B75" s="4" t="s">
        <v>134</v>
      </c>
      <c r="C75" s="10" t="s">
        <v>196</v>
      </c>
      <c r="D75" s="4" t="s">
        <v>161</v>
      </c>
    </row>
    <row r="76">
      <c r="A76" s="4" t="s">
        <v>34</v>
      </c>
      <c r="B76" s="4" t="s">
        <v>197</v>
      </c>
      <c r="C76" s="10" t="s">
        <v>198</v>
      </c>
      <c r="D76" s="9" t="s">
        <v>162</v>
      </c>
    </row>
    <row r="77">
      <c r="C77" s="12"/>
      <c r="D77" s="9" t="s">
        <v>163</v>
      </c>
    </row>
    <row r="78">
      <c r="C78" s="12"/>
      <c r="D78" s="9" t="s">
        <v>164</v>
      </c>
    </row>
    <row r="79">
      <c r="A79" s="4" t="s">
        <v>21</v>
      </c>
      <c r="B79" s="10" t="s">
        <v>199</v>
      </c>
      <c r="C79" s="10" t="s">
        <v>200</v>
      </c>
      <c r="D79" s="9" t="s">
        <v>165</v>
      </c>
    </row>
    <row r="80">
      <c r="C80" s="12"/>
      <c r="D80" s="9" t="s">
        <v>166</v>
      </c>
    </row>
    <row r="81">
      <c r="C81" s="12"/>
      <c r="D81" s="9" t="s">
        <v>167</v>
      </c>
    </row>
    <row r="82">
      <c r="C82" s="12"/>
      <c r="D82" s="9" t="s">
        <v>168</v>
      </c>
    </row>
    <row r="83">
      <c r="C83" s="12"/>
      <c r="D83" s="9" t="s">
        <v>169</v>
      </c>
    </row>
    <row r="84">
      <c r="A84" s="4" t="s">
        <v>24</v>
      </c>
      <c r="B84" s="4" t="s">
        <v>201</v>
      </c>
      <c r="C84" s="10" t="s">
        <v>202</v>
      </c>
      <c r="D84" s="9" t="s">
        <v>170</v>
      </c>
    </row>
    <row r="85">
      <c r="C85" s="12"/>
      <c r="D85" s="9" t="s">
        <v>171</v>
      </c>
    </row>
    <row r="86">
      <c r="A86" s="4" t="s">
        <v>173</v>
      </c>
      <c r="B86" s="4" t="s">
        <v>158</v>
      </c>
      <c r="C86" s="10" t="s">
        <v>203</v>
      </c>
      <c r="D86" s="4" t="s">
        <v>172</v>
      </c>
    </row>
    <row r="87">
      <c r="A87" s="4" t="s">
        <v>175</v>
      </c>
      <c r="B87" s="4" t="s">
        <v>194</v>
      </c>
      <c r="C87" s="10" t="s">
        <v>204</v>
      </c>
      <c r="D87" s="9" t="s">
        <v>174</v>
      </c>
    </row>
    <row r="88">
      <c r="C88" s="12"/>
      <c r="D88" s="9" t="s">
        <v>176</v>
      </c>
    </row>
    <row r="89">
      <c r="A89" s="4" t="s">
        <v>5</v>
      </c>
      <c r="B89" s="10" t="s">
        <v>205</v>
      </c>
      <c r="C89" s="10" t="s">
        <v>206</v>
      </c>
      <c r="D89" s="9" t="s">
        <v>177</v>
      </c>
    </row>
    <row r="90">
      <c r="C90" s="12"/>
      <c r="D90" s="9" t="s">
        <v>178</v>
      </c>
    </row>
    <row r="91">
      <c r="C91" s="12"/>
      <c r="D91" s="9" t="s">
        <v>179</v>
      </c>
    </row>
    <row r="92">
      <c r="C92" s="12"/>
      <c r="D92" s="9" t="s">
        <v>180</v>
      </c>
    </row>
    <row r="93">
      <c r="C93" s="12"/>
      <c r="D93" s="9" t="s">
        <v>181</v>
      </c>
    </row>
    <row r="94">
      <c r="A94" s="4" t="s">
        <v>207</v>
      </c>
      <c r="B94" s="4" t="s">
        <v>158</v>
      </c>
      <c r="C94" s="12"/>
      <c r="D94" s="9"/>
    </row>
    <row r="95">
      <c r="C95" s="11"/>
      <c r="D95" s="11"/>
      <c r="E95" s="12"/>
    </row>
    <row r="96">
      <c r="C96" s="11"/>
      <c r="D96" s="11"/>
      <c r="E96" s="12"/>
    </row>
    <row r="97">
      <c r="C97" s="11"/>
      <c r="D97" s="11"/>
      <c r="E97" s="12"/>
    </row>
    <row r="98">
      <c r="C98" s="11"/>
      <c r="D98" s="11"/>
      <c r="E98" s="12"/>
    </row>
    <row r="99">
      <c r="C99" s="11"/>
      <c r="D99" s="11"/>
      <c r="E99" s="12"/>
    </row>
    <row r="100">
      <c r="C100" s="11"/>
      <c r="D100" s="11"/>
      <c r="E100" s="12"/>
    </row>
    <row r="101">
      <c r="C101" s="11"/>
      <c r="D101" s="11"/>
      <c r="E101" s="12"/>
    </row>
    <row r="102">
      <c r="C102" s="11"/>
      <c r="D102" s="11"/>
      <c r="E102" s="12"/>
    </row>
    <row r="103">
      <c r="C103" s="11"/>
      <c r="D103" s="11"/>
      <c r="E103" s="12"/>
    </row>
    <row r="104">
      <c r="C104" s="11"/>
      <c r="D104" s="11"/>
      <c r="E104" s="12"/>
    </row>
    <row r="105">
      <c r="C105" s="11"/>
      <c r="D105" s="11"/>
      <c r="E105" s="12"/>
    </row>
    <row r="106">
      <c r="C106" s="11"/>
      <c r="D106" s="11"/>
      <c r="E106" s="12"/>
    </row>
    <row r="107">
      <c r="C107" s="11"/>
      <c r="D107" s="11"/>
      <c r="E107" s="12"/>
    </row>
    <row r="108">
      <c r="C108" s="11"/>
      <c r="D108" s="11"/>
      <c r="E108" s="12"/>
    </row>
    <row r="109">
      <c r="C109" s="11"/>
      <c r="D109" s="11"/>
      <c r="E109" s="12"/>
    </row>
    <row r="110">
      <c r="C110" s="11"/>
      <c r="D110" s="11"/>
      <c r="E110" s="12"/>
    </row>
    <row r="111">
      <c r="C111" s="11"/>
      <c r="D111" s="11"/>
      <c r="E111" s="12"/>
    </row>
    <row r="112">
      <c r="C112" s="11"/>
      <c r="D112" s="11"/>
      <c r="E112" s="12"/>
    </row>
    <row r="113">
      <c r="C113" s="11"/>
      <c r="D113" s="11"/>
      <c r="E113" s="12"/>
    </row>
    <row r="114">
      <c r="C114" s="11"/>
      <c r="D114" s="11"/>
      <c r="E114" s="12"/>
    </row>
    <row r="115">
      <c r="C115" s="11"/>
      <c r="D115" s="11"/>
      <c r="E115" s="12"/>
    </row>
    <row r="116">
      <c r="C116" s="11"/>
      <c r="D116" s="11"/>
      <c r="E116" s="12"/>
    </row>
    <row r="117">
      <c r="C117" s="11"/>
      <c r="D117" s="11"/>
      <c r="E117" s="12"/>
    </row>
    <row r="118">
      <c r="C118" s="11"/>
      <c r="D118" s="11"/>
      <c r="E118" s="12"/>
    </row>
    <row r="119">
      <c r="C119" s="11"/>
      <c r="D119" s="11"/>
      <c r="E119" s="12"/>
    </row>
    <row r="120">
      <c r="C120" s="11"/>
      <c r="D120" s="11"/>
      <c r="E120" s="12"/>
    </row>
    <row r="121">
      <c r="C121" s="11"/>
      <c r="D121" s="11"/>
      <c r="E121" s="12"/>
    </row>
    <row r="122">
      <c r="C122" s="11"/>
      <c r="D122" s="11"/>
      <c r="E122" s="12"/>
    </row>
    <row r="123">
      <c r="C123" s="11"/>
      <c r="D123" s="11"/>
      <c r="E123" s="12"/>
    </row>
    <row r="124">
      <c r="C124" s="11"/>
      <c r="D124" s="11"/>
      <c r="E124" s="12"/>
    </row>
    <row r="125">
      <c r="C125" s="11"/>
      <c r="D125" s="11"/>
      <c r="E125" s="12"/>
    </row>
    <row r="126">
      <c r="C126" s="11"/>
      <c r="D126" s="11"/>
      <c r="E126" s="12"/>
    </row>
    <row r="127">
      <c r="C127" s="11"/>
      <c r="D127" s="11"/>
      <c r="E127" s="12"/>
    </row>
    <row r="128">
      <c r="C128" s="11"/>
      <c r="D128" s="11"/>
      <c r="E128" s="12"/>
    </row>
    <row r="129">
      <c r="C129" s="11"/>
      <c r="D129" s="11"/>
      <c r="E129" s="12"/>
    </row>
    <row r="130">
      <c r="C130" s="11"/>
      <c r="D130" s="11"/>
      <c r="E130" s="12"/>
    </row>
    <row r="131">
      <c r="C131" s="11"/>
      <c r="D131" s="11"/>
      <c r="E131" s="12"/>
    </row>
    <row r="132">
      <c r="C132" s="11"/>
      <c r="D132" s="11"/>
      <c r="E132" s="12"/>
    </row>
    <row r="133">
      <c r="C133" s="11"/>
      <c r="D133" s="11"/>
      <c r="E133" s="12"/>
    </row>
    <row r="134">
      <c r="C134" s="11"/>
      <c r="D134" s="11"/>
      <c r="E134" s="12"/>
    </row>
    <row r="135">
      <c r="C135" s="11"/>
      <c r="D135" s="11"/>
      <c r="E135" s="12"/>
    </row>
    <row r="136">
      <c r="C136" s="11"/>
      <c r="D136" s="11"/>
      <c r="E136" s="12"/>
    </row>
    <row r="137">
      <c r="C137" s="11"/>
      <c r="D137" s="11"/>
      <c r="E137" s="12"/>
    </row>
    <row r="138">
      <c r="C138" s="11"/>
      <c r="D138" s="11"/>
      <c r="E138" s="12"/>
    </row>
    <row r="139">
      <c r="C139" s="11"/>
      <c r="D139" s="11"/>
      <c r="E139" s="12"/>
    </row>
    <row r="140">
      <c r="C140" s="11"/>
      <c r="D140" s="11"/>
      <c r="E140" s="12"/>
    </row>
    <row r="141">
      <c r="C141" s="11"/>
      <c r="D141" s="11"/>
      <c r="E141" s="12"/>
    </row>
    <row r="142">
      <c r="C142" s="11"/>
      <c r="D142" s="11"/>
      <c r="E142" s="12"/>
    </row>
    <row r="143">
      <c r="C143" s="11"/>
      <c r="D143" s="11"/>
      <c r="E143" s="12"/>
    </row>
    <row r="144">
      <c r="C144" s="11"/>
      <c r="D144" s="11"/>
      <c r="E144" s="12"/>
    </row>
    <row r="145">
      <c r="C145" s="11"/>
      <c r="D145" s="11"/>
      <c r="E145" s="12"/>
    </row>
    <row r="146">
      <c r="C146" s="11"/>
      <c r="D146" s="11"/>
      <c r="E146" s="12"/>
    </row>
    <row r="147">
      <c r="C147" s="11"/>
      <c r="D147" s="11"/>
      <c r="E147" s="12"/>
    </row>
    <row r="148">
      <c r="C148" s="11"/>
      <c r="D148" s="11"/>
      <c r="E148" s="12"/>
    </row>
    <row r="149">
      <c r="C149" s="11"/>
      <c r="D149" s="11"/>
      <c r="E149" s="12"/>
    </row>
    <row r="150">
      <c r="C150" s="11"/>
      <c r="D150" s="11"/>
      <c r="E150" s="12"/>
    </row>
    <row r="151">
      <c r="C151" s="11"/>
      <c r="D151" s="11"/>
      <c r="E151" s="12"/>
    </row>
    <row r="152">
      <c r="C152" s="11"/>
      <c r="D152" s="11"/>
      <c r="E152" s="12"/>
    </row>
    <row r="153">
      <c r="C153" s="11"/>
      <c r="D153" s="11"/>
      <c r="E153" s="12"/>
    </row>
    <row r="154">
      <c r="C154" s="11"/>
      <c r="D154" s="11"/>
      <c r="E154" s="12"/>
    </row>
    <row r="155">
      <c r="C155" s="11"/>
      <c r="D155" s="11"/>
      <c r="E155" s="12"/>
    </row>
    <row r="156">
      <c r="C156" s="11"/>
      <c r="D156" s="11"/>
      <c r="E156" s="12"/>
    </row>
    <row r="157">
      <c r="C157" s="11"/>
      <c r="D157" s="11"/>
      <c r="E157" s="12"/>
    </row>
    <row r="158">
      <c r="C158" s="11"/>
      <c r="D158" s="11"/>
      <c r="E158" s="12"/>
    </row>
    <row r="159">
      <c r="C159" s="11"/>
      <c r="D159" s="11"/>
      <c r="E159" s="12"/>
    </row>
    <row r="160">
      <c r="C160" s="11"/>
      <c r="D160" s="11"/>
      <c r="E160" s="12"/>
    </row>
    <row r="161">
      <c r="C161" s="11"/>
      <c r="D161" s="11"/>
      <c r="E161" s="12"/>
    </row>
    <row r="162">
      <c r="C162" s="11"/>
      <c r="D162" s="11"/>
      <c r="E162" s="12"/>
    </row>
    <row r="163">
      <c r="C163" s="11"/>
      <c r="D163" s="11"/>
      <c r="E163" s="12"/>
    </row>
    <row r="164">
      <c r="C164" s="11"/>
      <c r="D164" s="11"/>
      <c r="E164" s="12"/>
    </row>
    <row r="165">
      <c r="C165" s="11"/>
      <c r="D165" s="11"/>
      <c r="E165" s="12"/>
    </row>
    <row r="166">
      <c r="C166" s="11"/>
      <c r="D166" s="11"/>
      <c r="E166" s="12"/>
    </row>
    <row r="167">
      <c r="C167" s="11"/>
      <c r="D167" s="11"/>
      <c r="E167" s="12"/>
    </row>
    <row r="168">
      <c r="C168" s="11"/>
      <c r="D168" s="11"/>
      <c r="E168" s="12"/>
    </row>
    <row r="169">
      <c r="C169" s="11"/>
      <c r="D169" s="11"/>
      <c r="E169" s="12"/>
    </row>
    <row r="170">
      <c r="C170" s="11"/>
      <c r="D170" s="11"/>
      <c r="E170" s="12"/>
    </row>
    <row r="171">
      <c r="C171" s="11"/>
      <c r="D171" s="11"/>
      <c r="E171" s="12"/>
    </row>
    <row r="172">
      <c r="C172" s="11"/>
      <c r="D172" s="11"/>
      <c r="E172" s="12"/>
    </row>
    <row r="173">
      <c r="C173" s="11"/>
      <c r="D173" s="11"/>
      <c r="E173" s="12"/>
    </row>
    <row r="174">
      <c r="C174" s="11"/>
      <c r="D174" s="11"/>
      <c r="E174" s="12"/>
    </row>
    <row r="175">
      <c r="C175" s="11"/>
      <c r="D175" s="11"/>
      <c r="E175" s="12"/>
    </row>
    <row r="176">
      <c r="C176" s="11"/>
      <c r="D176" s="11"/>
      <c r="E176" s="12"/>
    </row>
    <row r="177">
      <c r="C177" s="11"/>
      <c r="D177" s="11"/>
      <c r="E177" s="12"/>
    </row>
    <row r="178">
      <c r="C178" s="11"/>
      <c r="D178" s="11"/>
      <c r="E178" s="12"/>
    </row>
    <row r="179">
      <c r="C179" s="11"/>
      <c r="D179" s="11"/>
      <c r="E179" s="12"/>
    </row>
    <row r="180">
      <c r="C180" s="11"/>
      <c r="D180" s="11"/>
      <c r="E180" s="12"/>
    </row>
    <row r="181">
      <c r="C181" s="11"/>
      <c r="D181" s="11"/>
      <c r="E181" s="12"/>
    </row>
    <row r="182">
      <c r="C182" s="11"/>
      <c r="D182" s="11"/>
      <c r="E182" s="12"/>
    </row>
    <row r="183">
      <c r="C183" s="11"/>
      <c r="D183" s="11"/>
      <c r="E183" s="12"/>
    </row>
    <row r="184">
      <c r="C184" s="11"/>
      <c r="D184" s="11"/>
      <c r="E184" s="12"/>
    </row>
    <row r="185">
      <c r="C185" s="11"/>
      <c r="D185" s="11"/>
      <c r="E185" s="12"/>
    </row>
    <row r="186">
      <c r="C186" s="11"/>
      <c r="D186" s="11"/>
      <c r="E186" s="12"/>
    </row>
    <row r="187">
      <c r="C187" s="11"/>
      <c r="D187" s="11"/>
      <c r="E187" s="12"/>
    </row>
    <row r="188">
      <c r="C188" s="11"/>
      <c r="D188" s="11"/>
      <c r="E188" s="12"/>
    </row>
    <row r="189">
      <c r="C189" s="11"/>
      <c r="D189" s="11"/>
      <c r="E189" s="12"/>
    </row>
    <row r="190">
      <c r="C190" s="11"/>
      <c r="D190" s="11"/>
      <c r="E190" s="12"/>
    </row>
    <row r="191">
      <c r="C191" s="11"/>
      <c r="D191" s="11"/>
      <c r="E191" s="12"/>
    </row>
    <row r="192">
      <c r="C192" s="11"/>
      <c r="D192" s="11"/>
      <c r="E192" s="12"/>
    </row>
    <row r="193">
      <c r="C193" s="11"/>
      <c r="D193" s="11"/>
      <c r="E193" s="12"/>
    </row>
    <row r="194">
      <c r="C194" s="11"/>
      <c r="D194" s="11"/>
      <c r="E194" s="12"/>
    </row>
    <row r="195">
      <c r="C195" s="11"/>
      <c r="D195" s="11"/>
      <c r="E195" s="12"/>
    </row>
    <row r="196">
      <c r="C196" s="11"/>
      <c r="D196" s="11"/>
      <c r="E196" s="12"/>
    </row>
    <row r="197">
      <c r="C197" s="11"/>
      <c r="D197" s="11"/>
      <c r="E197" s="12"/>
    </row>
    <row r="198">
      <c r="C198" s="11"/>
      <c r="D198" s="11"/>
      <c r="E198" s="12"/>
    </row>
    <row r="199">
      <c r="C199" s="11"/>
      <c r="D199" s="11"/>
      <c r="E199" s="12"/>
    </row>
    <row r="200">
      <c r="C200" s="11"/>
      <c r="D200" s="11"/>
      <c r="E200" s="12"/>
    </row>
    <row r="201">
      <c r="C201" s="11"/>
      <c r="D201" s="11"/>
      <c r="E201" s="12"/>
    </row>
    <row r="202">
      <c r="C202" s="11"/>
      <c r="D202" s="11"/>
      <c r="E202" s="12"/>
    </row>
    <row r="203">
      <c r="C203" s="11"/>
      <c r="D203" s="11"/>
      <c r="E203" s="12"/>
    </row>
    <row r="204">
      <c r="C204" s="11"/>
      <c r="D204" s="11"/>
      <c r="E204" s="12"/>
    </row>
    <row r="205">
      <c r="C205" s="11"/>
      <c r="D205" s="11"/>
      <c r="E205" s="12"/>
    </row>
    <row r="206">
      <c r="C206" s="11"/>
      <c r="D206" s="11"/>
      <c r="E206" s="12"/>
    </row>
    <row r="207">
      <c r="C207" s="11"/>
      <c r="D207" s="11"/>
      <c r="E207" s="12"/>
    </row>
    <row r="208">
      <c r="C208" s="11"/>
      <c r="D208" s="11"/>
      <c r="E208" s="12"/>
    </row>
    <row r="209">
      <c r="C209" s="11"/>
      <c r="D209" s="11"/>
      <c r="E209" s="12"/>
    </row>
    <row r="210">
      <c r="C210" s="11"/>
      <c r="D210" s="11"/>
      <c r="E210" s="12"/>
    </row>
    <row r="211">
      <c r="C211" s="11"/>
      <c r="D211" s="11"/>
      <c r="E211" s="12"/>
    </row>
    <row r="212">
      <c r="C212" s="11"/>
      <c r="D212" s="11"/>
      <c r="E212" s="12"/>
    </row>
    <row r="213">
      <c r="C213" s="11"/>
      <c r="D213" s="11"/>
      <c r="E213" s="12"/>
    </row>
    <row r="214">
      <c r="C214" s="11"/>
      <c r="D214" s="11"/>
      <c r="E214" s="12"/>
    </row>
    <row r="215">
      <c r="C215" s="11"/>
      <c r="D215" s="11"/>
      <c r="E215" s="12"/>
    </row>
    <row r="216">
      <c r="C216" s="11"/>
      <c r="D216" s="11"/>
      <c r="E216" s="12"/>
    </row>
    <row r="217">
      <c r="C217" s="11"/>
      <c r="D217" s="11"/>
      <c r="E217" s="12"/>
    </row>
    <row r="218">
      <c r="C218" s="11"/>
      <c r="D218" s="11"/>
      <c r="E218" s="12"/>
    </row>
    <row r="219">
      <c r="C219" s="11"/>
      <c r="D219" s="11"/>
      <c r="E219" s="12"/>
    </row>
    <row r="220">
      <c r="C220" s="11"/>
      <c r="D220" s="11"/>
      <c r="E220" s="12"/>
    </row>
    <row r="221">
      <c r="C221" s="11"/>
      <c r="D221" s="11"/>
      <c r="E221" s="12"/>
    </row>
    <row r="222">
      <c r="C222" s="11"/>
      <c r="D222" s="11"/>
      <c r="E222" s="12"/>
    </row>
    <row r="223">
      <c r="C223" s="11"/>
      <c r="D223" s="11"/>
      <c r="E223" s="12"/>
    </row>
    <row r="224">
      <c r="C224" s="11"/>
      <c r="D224" s="11"/>
      <c r="E224" s="12"/>
    </row>
    <row r="225">
      <c r="C225" s="11"/>
      <c r="D225" s="11"/>
      <c r="E225" s="12"/>
    </row>
    <row r="226">
      <c r="C226" s="11"/>
      <c r="D226" s="11"/>
      <c r="E226" s="12"/>
    </row>
    <row r="227">
      <c r="C227" s="11"/>
      <c r="D227" s="11"/>
      <c r="E227" s="12"/>
    </row>
    <row r="228">
      <c r="C228" s="11"/>
      <c r="D228" s="11"/>
      <c r="E228" s="12"/>
    </row>
    <row r="229">
      <c r="C229" s="11"/>
      <c r="D229" s="11"/>
      <c r="E229" s="12"/>
    </row>
    <row r="230">
      <c r="C230" s="11"/>
      <c r="D230" s="11"/>
      <c r="E230" s="12"/>
    </row>
    <row r="231">
      <c r="C231" s="11"/>
      <c r="D231" s="11"/>
      <c r="E231" s="12"/>
    </row>
    <row r="232">
      <c r="C232" s="11"/>
      <c r="D232" s="11"/>
      <c r="E232" s="12"/>
    </row>
    <row r="233">
      <c r="C233" s="11"/>
      <c r="D233" s="11"/>
      <c r="E233" s="12"/>
    </row>
    <row r="234">
      <c r="C234" s="11"/>
      <c r="D234" s="11"/>
      <c r="E234" s="12"/>
    </row>
    <row r="235">
      <c r="C235" s="11"/>
      <c r="D235" s="11"/>
      <c r="E235" s="12"/>
    </row>
    <row r="236">
      <c r="C236" s="11"/>
      <c r="D236" s="11"/>
      <c r="E236" s="12"/>
    </row>
    <row r="237">
      <c r="C237" s="11"/>
      <c r="D237" s="11"/>
      <c r="E237" s="12"/>
    </row>
    <row r="238">
      <c r="C238" s="11"/>
      <c r="D238" s="11"/>
      <c r="E238" s="12"/>
    </row>
    <row r="239">
      <c r="C239" s="11"/>
      <c r="D239" s="11"/>
      <c r="E239" s="12"/>
    </row>
    <row r="240">
      <c r="C240" s="11"/>
      <c r="D240" s="11"/>
      <c r="E240" s="12"/>
    </row>
    <row r="241">
      <c r="C241" s="11"/>
      <c r="D241" s="11"/>
      <c r="E241" s="12"/>
    </row>
    <row r="242">
      <c r="C242" s="11"/>
      <c r="D242" s="11"/>
      <c r="E242" s="12"/>
    </row>
    <row r="243">
      <c r="C243" s="11"/>
      <c r="D243" s="11"/>
      <c r="E243" s="12"/>
    </row>
    <row r="244">
      <c r="C244" s="11"/>
      <c r="D244" s="11"/>
      <c r="E244" s="12"/>
    </row>
    <row r="245">
      <c r="C245" s="11"/>
      <c r="D245" s="11"/>
      <c r="E245" s="12"/>
    </row>
    <row r="246">
      <c r="C246" s="11"/>
      <c r="D246" s="11"/>
      <c r="E246" s="12"/>
    </row>
    <row r="247">
      <c r="C247" s="11"/>
      <c r="D247" s="11"/>
      <c r="E247" s="12"/>
    </row>
    <row r="248">
      <c r="C248" s="11"/>
      <c r="D248" s="11"/>
      <c r="E248" s="12"/>
    </row>
    <row r="249">
      <c r="C249" s="11"/>
      <c r="D249" s="11"/>
      <c r="E249" s="12"/>
    </row>
    <row r="250">
      <c r="C250" s="11"/>
      <c r="D250" s="11"/>
      <c r="E250" s="12"/>
    </row>
    <row r="251">
      <c r="C251" s="11"/>
      <c r="D251" s="11"/>
      <c r="E251" s="12"/>
    </row>
    <row r="252">
      <c r="C252" s="11"/>
      <c r="D252" s="11"/>
      <c r="E252" s="12"/>
    </row>
    <row r="253">
      <c r="C253" s="11"/>
      <c r="D253" s="11"/>
      <c r="E253" s="12"/>
    </row>
    <row r="254">
      <c r="C254" s="11"/>
      <c r="D254" s="11"/>
      <c r="E254" s="12"/>
    </row>
    <row r="255">
      <c r="C255" s="11"/>
      <c r="D255" s="11"/>
      <c r="E255" s="12"/>
    </row>
    <row r="256">
      <c r="C256" s="11"/>
      <c r="D256" s="11"/>
      <c r="E256" s="12"/>
    </row>
    <row r="257">
      <c r="C257" s="11"/>
      <c r="D257" s="11"/>
      <c r="E257" s="12"/>
    </row>
    <row r="258">
      <c r="C258" s="11"/>
      <c r="D258" s="11"/>
      <c r="E258" s="12"/>
    </row>
    <row r="259">
      <c r="C259" s="11"/>
      <c r="D259" s="11"/>
      <c r="E259" s="12"/>
    </row>
    <row r="260">
      <c r="C260" s="11"/>
      <c r="D260" s="11"/>
      <c r="E260" s="12"/>
    </row>
    <row r="261">
      <c r="C261" s="11"/>
      <c r="D261" s="11"/>
      <c r="E261" s="12"/>
    </row>
    <row r="262">
      <c r="C262" s="11"/>
      <c r="D262" s="11"/>
      <c r="E262" s="12"/>
    </row>
    <row r="263">
      <c r="C263" s="11"/>
      <c r="D263" s="11"/>
      <c r="E263" s="12"/>
    </row>
    <row r="264">
      <c r="C264" s="11"/>
      <c r="D264" s="11"/>
      <c r="E264" s="12"/>
    </row>
    <row r="265">
      <c r="C265" s="11"/>
      <c r="D265" s="11"/>
      <c r="E265" s="12"/>
    </row>
    <row r="266">
      <c r="C266" s="11"/>
      <c r="D266" s="11"/>
      <c r="E266" s="12"/>
    </row>
    <row r="267">
      <c r="C267" s="11"/>
      <c r="D267" s="11"/>
      <c r="E267" s="12"/>
    </row>
    <row r="268">
      <c r="C268" s="11"/>
      <c r="D268" s="11"/>
      <c r="E268" s="12"/>
    </row>
    <row r="269">
      <c r="C269" s="11"/>
      <c r="D269" s="11"/>
      <c r="E269" s="12"/>
    </row>
    <row r="270">
      <c r="C270" s="11"/>
      <c r="D270" s="11"/>
      <c r="E270" s="12"/>
    </row>
    <row r="271">
      <c r="C271" s="11"/>
      <c r="D271" s="11"/>
      <c r="E271" s="12"/>
    </row>
    <row r="272">
      <c r="C272" s="11"/>
      <c r="D272" s="11"/>
      <c r="E272" s="12"/>
    </row>
    <row r="273">
      <c r="C273" s="11"/>
      <c r="D273" s="11"/>
      <c r="E273" s="12"/>
    </row>
    <row r="274">
      <c r="C274" s="11"/>
      <c r="D274" s="11"/>
      <c r="E274" s="12"/>
    </row>
    <row r="275">
      <c r="C275" s="11"/>
      <c r="D275" s="11"/>
      <c r="E275" s="12"/>
    </row>
    <row r="276">
      <c r="C276" s="11"/>
      <c r="D276" s="11"/>
      <c r="E276" s="12"/>
    </row>
    <row r="277">
      <c r="C277" s="11"/>
      <c r="D277" s="11"/>
      <c r="E277" s="12"/>
    </row>
    <row r="278">
      <c r="C278" s="11"/>
      <c r="D278" s="11"/>
      <c r="E278" s="12"/>
    </row>
    <row r="279">
      <c r="C279" s="11"/>
      <c r="D279" s="11"/>
      <c r="E279" s="12"/>
    </row>
    <row r="280">
      <c r="C280" s="11"/>
      <c r="D280" s="11"/>
      <c r="E280" s="12"/>
    </row>
    <row r="281">
      <c r="C281" s="11"/>
      <c r="D281" s="11"/>
      <c r="E281" s="12"/>
    </row>
    <row r="282">
      <c r="C282" s="11"/>
      <c r="D282" s="11"/>
      <c r="E282" s="12"/>
    </row>
    <row r="283">
      <c r="C283" s="11"/>
      <c r="D283" s="11"/>
      <c r="E283" s="12"/>
    </row>
    <row r="284">
      <c r="C284" s="11"/>
      <c r="D284" s="11"/>
      <c r="E284" s="12"/>
    </row>
    <row r="285">
      <c r="C285" s="11"/>
      <c r="D285" s="11"/>
      <c r="E285" s="12"/>
    </row>
    <row r="286">
      <c r="C286" s="11"/>
      <c r="D286" s="11"/>
      <c r="E286" s="12"/>
    </row>
    <row r="287">
      <c r="C287" s="11"/>
      <c r="D287" s="11"/>
      <c r="E287" s="12"/>
    </row>
    <row r="288">
      <c r="C288" s="11"/>
      <c r="D288" s="11"/>
      <c r="E288" s="12"/>
    </row>
    <row r="289">
      <c r="C289" s="11"/>
      <c r="D289" s="11"/>
      <c r="E289" s="12"/>
    </row>
    <row r="290">
      <c r="C290" s="11"/>
      <c r="D290" s="11"/>
      <c r="E290" s="12"/>
    </row>
    <row r="291">
      <c r="C291" s="11"/>
      <c r="D291" s="11"/>
      <c r="E291" s="12"/>
    </row>
    <row r="292">
      <c r="C292" s="11"/>
      <c r="D292" s="11"/>
      <c r="E292" s="12"/>
    </row>
    <row r="293">
      <c r="C293" s="11"/>
      <c r="D293" s="11"/>
      <c r="E293" s="12"/>
    </row>
    <row r="294">
      <c r="C294" s="11"/>
      <c r="D294" s="11"/>
      <c r="E294" s="12"/>
    </row>
    <row r="295">
      <c r="C295" s="11"/>
      <c r="D295" s="11"/>
      <c r="E295" s="12"/>
    </row>
    <row r="296">
      <c r="C296" s="11"/>
      <c r="D296" s="11"/>
      <c r="E296" s="12"/>
    </row>
    <row r="297">
      <c r="C297" s="11"/>
      <c r="D297" s="11"/>
      <c r="E297" s="12"/>
    </row>
    <row r="298">
      <c r="C298" s="11"/>
      <c r="D298" s="11"/>
      <c r="E298" s="12"/>
    </row>
    <row r="299">
      <c r="C299" s="11"/>
      <c r="D299" s="11"/>
      <c r="E299" s="12"/>
    </row>
    <row r="300">
      <c r="C300" s="11"/>
      <c r="D300" s="11"/>
      <c r="E300" s="12"/>
    </row>
    <row r="301">
      <c r="C301" s="11"/>
      <c r="D301" s="11"/>
      <c r="E301" s="12"/>
    </row>
    <row r="302">
      <c r="C302" s="11"/>
      <c r="D302" s="11"/>
      <c r="E302" s="12"/>
    </row>
    <row r="303">
      <c r="C303" s="11"/>
      <c r="D303" s="11"/>
      <c r="E303" s="12"/>
    </row>
    <row r="304">
      <c r="C304" s="11"/>
      <c r="D304" s="11"/>
      <c r="E304" s="12"/>
    </row>
    <row r="305">
      <c r="C305" s="11"/>
      <c r="D305" s="11"/>
      <c r="E305" s="12"/>
    </row>
    <row r="306">
      <c r="C306" s="11"/>
      <c r="D306" s="11"/>
      <c r="E306" s="12"/>
    </row>
    <row r="307">
      <c r="C307" s="11"/>
      <c r="D307" s="11"/>
      <c r="E307" s="12"/>
    </row>
    <row r="308">
      <c r="C308" s="11"/>
      <c r="D308" s="11"/>
      <c r="E308" s="12"/>
    </row>
    <row r="309">
      <c r="C309" s="11"/>
      <c r="D309" s="11"/>
      <c r="E309" s="12"/>
    </row>
    <row r="310">
      <c r="C310" s="11"/>
      <c r="D310" s="11"/>
      <c r="E310" s="12"/>
    </row>
    <row r="311">
      <c r="C311" s="11"/>
      <c r="D311" s="11"/>
      <c r="E311" s="12"/>
    </row>
    <row r="312">
      <c r="C312" s="11"/>
      <c r="D312" s="11"/>
      <c r="E312" s="12"/>
    </row>
    <row r="313">
      <c r="C313" s="11"/>
      <c r="D313" s="11"/>
      <c r="E313" s="12"/>
    </row>
    <row r="314">
      <c r="C314" s="11"/>
      <c r="D314" s="11"/>
      <c r="E314" s="12"/>
    </row>
    <row r="315">
      <c r="C315" s="11"/>
      <c r="D315" s="11"/>
      <c r="E315" s="12"/>
    </row>
    <row r="316">
      <c r="C316" s="11"/>
      <c r="D316" s="11"/>
      <c r="E316" s="12"/>
    </row>
    <row r="317">
      <c r="C317" s="11"/>
      <c r="D317" s="11"/>
      <c r="E317" s="12"/>
    </row>
    <row r="318">
      <c r="C318" s="11"/>
      <c r="D318" s="11"/>
      <c r="E318" s="12"/>
    </row>
    <row r="319">
      <c r="C319" s="11"/>
      <c r="D319" s="11"/>
      <c r="E319" s="12"/>
    </row>
    <row r="320">
      <c r="C320" s="11"/>
      <c r="D320" s="11"/>
      <c r="E320" s="12"/>
    </row>
    <row r="321">
      <c r="C321" s="11"/>
      <c r="D321" s="11"/>
      <c r="E321" s="12"/>
    </row>
    <row r="322">
      <c r="C322" s="11"/>
      <c r="D322" s="11"/>
      <c r="E322" s="12"/>
    </row>
    <row r="323">
      <c r="C323" s="11"/>
      <c r="D323" s="11"/>
      <c r="E323" s="12"/>
    </row>
    <row r="324">
      <c r="C324" s="11"/>
      <c r="D324" s="11"/>
      <c r="E324" s="12"/>
    </row>
    <row r="325">
      <c r="C325" s="11"/>
      <c r="D325" s="11"/>
      <c r="E325" s="12"/>
    </row>
    <row r="326">
      <c r="C326" s="11"/>
      <c r="D326" s="11"/>
      <c r="E326" s="12"/>
    </row>
    <row r="327">
      <c r="C327" s="11"/>
      <c r="D327" s="11"/>
      <c r="E327" s="12"/>
    </row>
    <row r="328">
      <c r="C328" s="11"/>
      <c r="D328" s="11"/>
      <c r="E328" s="12"/>
    </row>
    <row r="329">
      <c r="C329" s="11"/>
      <c r="D329" s="11"/>
      <c r="E329" s="12"/>
    </row>
    <row r="330">
      <c r="C330" s="11"/>
      <c r="D330" s="11"/>
      <c r="E330" s="12"/>
    </row>
    <row r="331">
      <c r="C331" s="11"/>
      <c r="D331" s="11"/>
      <c r="E331" s="12"/>
    </row>
    <row r="332">
      <c r="C332" s="11"/>
      <c r="D332" s="11"/>
      <c r="E332" s="12"/>
    </row>
    <row r="333">
      <c r="C333" s="11"/>
      <c r="D333" s="11"/>
      <c r="E333" s="12"/>
    </row>
    <row r="334">
      <c r="C334" s="11"/>
      <c r="D334" s="11"/>
      <c r="E334" s="12"/>
    </row>
    <row r="335">
      <c r="C335" s="11"/>
      <c r="D335" s="11"/>
      <c r="E335" s="12"/>
    </row>
    <row r="336">
      <c r="C336" s="11"/>
      <c r="D336" s="11"/>
      <c r="E336" s="12"/>
    </row>
    <row r="337">
      <c r="C337" s="11"/>
      <c r="D337" s="11"/>
      <c r="E337" s="12"/>
    </row>
    <row r="338">
      <c r="C338" s="11"/>
      <c r="D338" s="11"/>
      <c r="E338" s="12"/>
    </row>
    <row r="339">
      <c r="C339" s="11"/>
      <c r="D339" s="11"/>
      <c r="E339" s="12"/>
    </row>
    <row r="340">
      <c r="C340" s="11"/>
      <c r="D340" s="11"/>
      <c r="E340" s="12"/>
    </row>
    <row r="341">
      <c r="C341" s="11"/>
      <c r="D341" s="11"/>
      <c r="E341" s="12"/>
    </row>
    <row r="342">
      <c r="C342" s="11"/>
      <c r="D342" s="11"/>
      <c r="E342" s="12"/>
    </row>
    <row r="343">
      <c r="C343" s="11"/>
      <c r="D343" s="11"/>
      <c r="E343" s="12"/>
    </row>
    <row r="344">
      <c r="C344" s="11"/>
      <c r="D344" s="11"/>
      <c r="E344" s="12"/>
    </row>
    <row r="345">
      <c r="C345" s="11"/>
      <c r="D345" s="11"/>
      <c r="E345" s="12"/>
    </row>
    <row r="346">
      <c r="C346" s="11"/>
      <c r="D346" s="11"/>
      <c r="E346" s="12"/>
    </row>
    <row r="347">
      <c r="C347" s="11"/>
      <c r="D347" s="11"/>
      <c r="E347" s="12"/>
    </row>
    <row r="348">
      <c r="C348" s="11"/>
      <c r="D348" s="11"/>
      <c r="E348" s="12"/>
    </row>
    <row r="349">
      <c r="C349" s="11"/>
      <c r="D349" s="11"/>
      <c r="E349" s="12"/>
    </row>
    <row r="350">
      <c r="C350" s="11"/>
      <c r="D350" s="11"/>
      <c r="E350" s="12"/>
    </row>
    <row r="351">
      <c r="C351" s="11"/>
      <c r="D351" s="11"/>
      <c r="E351" s="12"/>
    </row>
    <row r="352">
      <c r="C352" s="11"/>
      <c r="D352" s="11"/>
      <c r="E352" s="12"/>
    </row>
    <row r="353">
      <c r="C353" s="11"/>
      <c r="D353" s="11"/>
      <c r="E353" s="12"/>
    </row>
    <row r="354">
      <c r="C354" s="11"/>
      <c r="D354" s="11"/>
      <c r="E354" s="12"/>
    </row>
    <row r="355">
      <c r="C355" s="11"/>
      <c r="D355" s="11"/>
      <c r="E355" s="12"/>
    </row>
    <row r="356">
      <c r="C356" s="11"/>
      <c r="D356" s="11"/>
      <c r="E356" s="12"/>
    </row>
    <row r="357">
      <c r="C357" s="11"/>
      <c r="D357" s="11"/>
      <c r="E357" s="12"/>
    </row>
    <row r="358">
      <c r="C358" s="11"/>
      <c r="D358" s="11"/>
      <c r="E358" s="12"/>
    </row>
    <row r="359">
      <c r="C359" s="11"/>
      <c r="D359" s="11"/>
      <c r="E359" s="12"/>
    </row>
    <row r="360">
      <c r="C360" s="11"/>
      <c r="D360" s="11"/>
      <c r="E360" s="12"/>
    </row>
    <row r="361">
      <c r="C361" s="11"/>
      <c r="D361" s="11"/>
      <c r="E361" s="12"/>
    </row>
    <row r="362">
      <c r="C362" s="11"/>
      <c r="D362" s="11"/>
      <c r="E362" s="12"/>
    </row>
    <row r="363">
      <c r="C363" s="11"/>
      <c r="D363" s="11"/>
      <c r="E363" s="12"/>
    </row>
    <row r="364">
      <c r="C364" s="11"/>
      <c r="D364" s="11"/>
      <c r="E364" s="12"/>
    </row>
    <row r="365">
      <c r="C365" s="11"/>
      <c r="D365" s="11"/>
      <c r="E365" s="12"/>
    </row>
    <row r="366">
      <c r="C366" s="11"/>
      <c r="D366" s="11"/>
      <c r="E366" s="12"/>
    </row>
    <row r="367">
      <c r="C367" s="11"/>
      <c r="D367" s="11"/>
      <c r="E367" s="12"/>
    </row>
    <row r="368">
      <c r="C368" s="11"/>
      <c r="D368" s="11"/>
      <c r="E368" s="12"/>
    </row>
    <row r="369">
      <c r="C369" s="11"/>
      <c r="D369" s="11"/>
      <c r="E369" s="12"/>
    </row>
    <row r="370">
      <c r="C370" s="11"/>
      <c r="D370" s="11"/>
      <c r="E370" s="12"/>
    </row>
    <row r="371">
      <c r="C371" s="11"/>
      <c r="D371" s="11"/>
      <c r="E371" s="12"/>
    </row>
    <row r="372">
      <c r="C372" s="11"/>
      <c r="D372" s="11"/>
      <c r="E372" s="12"/>
    </row>
    <row r="373">
      <c r="C373" s="11"/>
      <c r="D373" s="11"/>
      <c r="E373" s="12"/>
    </row>
    <row r="374">
      <c r="C374" s="11"/>
      <c r="D374" s="11"/>
      <c r="E374" s="12"/>
    </row>
    <row r="375">
      <c r="C375" s="11"/>
      <c r="D375" s="11"/>
      <c r="E375" s="12"/>
    </row>
    <row r="376">
      <c r="C376" s="11"/>
      <c r="D376" s="11"/>
      <c r="E376" s="12"/>
    </row>
    <row r="377">
      <c r="C377" s="11"/>
      <c r="D377" s="11"/>
      <c r="E377" s="12"/>
    </row>
    <row r="378">
      <c r="C378" s="11"/>
      <c r="D378" s="11"/>
      <c r="E378" s="12"/>
    </row>
    <row r="379">
      <c r="C379" s="11"/>
      <c r="D379" s="11"/>
      <c r="E379" s="12"/>
    </row>
    <row r="380">
      <c r="C380" s="11"/>
      <c r="D380" s="11"/>
      <c r="E380" s="12"/>
    </row>
    <row r="381">
      <c r="C381" s="11"/>
      <c r="D381" s="11"/>
      <c r="E381" s="12"/>
    </row>
    <row r="382">
      <c r="C382" s="11"/>
      <c r="D382" s="11"/>
      <c r="E382" s="12"/>
    </row>
    <row r="383">
      <c r="C383" s="11"/>
      <c r="D383" s="11"/>
      <c r="E383" s="12"/>
    </row>
    <row r="384">
      <c r="C384" s="11"/>
      <c r="D384" s="11"/>
      <c r="E384" s="12"/>
    </row>
    <row r="385">
      <c r="C385" s="11"/>
      <c r="D385" s="11"/>
      <c r="E385" s="12"/>
    </row>
    <row r="386">
      <c r="C386" s="11"/>
      <c r="D386" s="11"/>
      <c r="E386" s="12"/>
    </row>
    <row r="387">
      <c r="C387" s="11"/>
      <c r="D387" s="11"/>
      <c r="E387" s="12"/>
    </row>
    <row r="388">
      <c r="C388" s="11"/>
      <c r="D388" s="11"/>
      <c r="E388" s="12"/>
    </row>
    <row r="389">
      <c r="C389" s="11"/>
      <c r="D389" s="11"/>
      <c r="E389" s="12"/>
    </row>
    <row r="390">
      <c r="C390" s="11"/>
      <c r="D390" s="11"/>
      <c r="E390" s="12"/>
    </row>
    <row r="391">
      <c r="C391" s="11"/>
      <c r="D391" s="11"/>
      <c r="E391" s="12"/>
    </row>
    <row r="392">
      <c r="C392" s="11"/>
      <c r="D392" s="11"/>
      <c r="E392" s="12"/>
    </row>
    <row r="393">
      <c r="C393" s="11"/>
      <c r="D393" s="11"/>
      <c r="E393" s="12"/>
    </row>
    <row r="394">
      <c r="C394" s="11"/>
      <c r="D394" s="11"/>
      <c r="E394" s="12"/>
    </row>
    <row r="395">
      <c r="C395" s="11"/>
      <c r="D395" s="11"/>
      <c r="E395" s="12"/>
    </row>
    <row r="396">
      <c r="C396" s="11"/>
      <c r="D396" s="11"/>
      <c r="E396" s="12"/>
    </row>
    <row r="397">
      <c r="C397" s="11"/>
      <c r="D397" s="11"/>
      <c r="E397" s="12"/>
    </row>
    <row r="398">
      <c r="C398" s="11"/>
      <c r="D398" s="11"/>
      <c r="E398" s="12"/>
    </row>
    <row r="399">
      <c r="C399" s="11"/>
      <c r="D399" s="11"/>
      <c r="E399" s="12"/>
    </row>
    <row r="400">
      <c r="C400" s="11"/>
      <c r="D400" s="11"/>
      <c r="E400" s="12"/>
    </row>
    <row r="401">
      <c r="C401" s="11"/>
      <c r="D401" s="11"/>
      <c r="E401" s="12"/>
    </row>
    <row r="402">
      <c r="C402" s="11"/>
      <c r="D402" s="11"/>
      <c r="E402" s="12"/>
    </row>
    <row r="403">
      <c r="C403" s="11"/>
      <c r="D403" s="11"/>
      <c r="E403" s="12"/>
    </row>
    <row r="404">
      <c r="C404" s="11"/>
      <c r="D404" s="11"/>
      <c r="E404" s="12"/>
    </row>
    <row r="405">
      <c r="C405" s="11"/>
      <c r="D405" s="11"/>
      <c r="E405" s="12"/>
    </row>
    <row r="406">
      <c r="C406" s="11"/>
      <c r="D406" s="11"/>
      <c r="E406" s="12"/>
    </row>
    <row r="407">
      <c r="C407" s="11"/>
      <c r="D407" s="11"/>
      <c r="E407" s="12"/>
    </row>
    <row r="408">
      <c r="C408" s="11"/>
      <c r="D408" s="11"/>
      <c r="E408" s="12"/>
    </row>
    <row r="409">
      <c r="C409" s="11"/>
      <c r="D409" s="11"/>
      <c r="E409" s="12"/>
    </row>
    <row r="410">
      <c r="C410" s="11"/>
      <c r="D410" s="11"/>
      <c r="E410" s="12"/>
    </row>
    <row r="411">
      <c r="C411" s="11"/>
      <c r="D411" s="11"/>
      <c r="E411" s="12"/>
    </row>
    <row r="412">
      <c r="C412" s="11"/>
      <c r="D412" s="11"/>
      <c r="E412" s="12"/>
    </row>
    <row r="413">
      <c r="C413" s="11"/>
      <c r="D413" s="11"/>
      <c r="E413" s="12"/>
    </row>
    <row r="414">
      <c r="C414" s="11"/>
      <c r="D414" s="11"/>
      <c r="E414" s="12"/>
    </row>
    <row r="415">
      <c r="C415" s="11"/>
      <c r="D415" s="11"/>
      <c r="E415" s="12"/>
    </row>
    <row r="416">
      <c r="C416" s="11"/>
      <c r="D416" s="11"/>
      <c r="E416" s="12"/>
    </row>
    <row r="417">
      <c r="C417" s="11"/>
      <c r="D417" s="11"/>
      <c r="E417" s="12"/>
    </row>
    <row r="418">
      <c r="C418" s="11"/>
      <c r="D418" s="11"/>
      <c r="E418" s="12"/>
    </row>
    <row r="419">
      <c r="C419" s="11"/>
      <c r="D419" s="11"/>
      <c r="E419" s="12"/>
    </row>
    <row r="420">
      <c r="C420" s="11"/>
      <c r="D420" s="11"/>
      <c r="E420" s="12"/>
    </row>
    <row r="421">
      <c r="C421" s="11"/>
      <c r="D421" s="11"/>
      <c r="E421" s="12"/>
    </row>
    <row r="422">
      <c r="C422" s="11"/>
      <c r="D422" s="11"/>
      <c r="E422" s="12"/>
    </row>
    <row r="423">
      <c r="C423" s="11"/>
      <c r="D423" s="11"/>
      <c r="E423" s="12"/>
    </row>
    <row r="424">
      <c r="C424" s="11"/>
      <c r="D424" s="11"/>
      <c r="E424" s="12"/>
    </row>
    <row r="425">
      <c r="C425" s="11"/>
      <c r="D425" s="11"/>
      <c r="E425" s="12"/>
    </row>
    <row r="426">
      <c r="C426" s="11"/>
      <c r="D426" s="11"/>
      <c r="E426" s="12"/>
    </row>
    <row r="427">
      <c r="C427" s="11"/>
      <c r="D427" s="11"/>
      <c r="E427" s="12"/>
    </row>
    <row r="428">
      <c r="C428" s="11"/>
      <c r="D428" s="11"/>
      <c r="E428" s="12"/>
    </row>
    <row r="429">
      <c r="C429" s="11"/>
      <c r="D429" s="11"/>
      <c r="E429" s="12"/>
    </row>
    <row r="430">
      <c r="C430" s="11"/>
      <c r="D430" s="11"/>
      <c r="E430" s="12"/>
    </row>
    <row r="431">
      <c r="C431" s="11"/>
      <c r="D431" s="11"/>
      <c r="E431" s="12"/>
    </row>
    <row r="432">
      <c r="C432" s="11"/>
      <c r="D432" s="11"/>
      <c r="E432" s="12"/>
    </row>
    <row r="433">
      <c r="C433" s="11"/>
      <c r="D433" s="11"/>
      <c r="E433" s="12"/>
    </row>
    <row r="434">
      <c r="C434" s="11"/>
      <c r="D434" s="11"/>
      <c r="E434" s="12"/>
    </row>
    <row r="435">
      <c r="C435" s="11"/>
      <c r="D435" s="11"/>
      <c r="E435" s="12"/>
    </row>
    <row r="436">
      <c r="C436" s="11"/>
      <c r="D436" s="11"/>
      <c r="E436" s="12"/>
    </row>
    <row r="437">
      <c r="C437" s="11"/>
      <c r="D437" s="11"/>
      <c r="E437" s="12"/>
    </row>
    <row r="438">
      <c r="C438" s="11"/>
      <c r="D438" s="11"/>
      <c r="E438" s="12"/>
    </row>
    <row r="439">
      <c r="C439" s="11"/>
      <c r="D439" s="11"/>
      <c r="E439" s="12"/>
    </row>
    <row r="440">
      <c r="C440" s="11"/>
      <c r="D440" s="11"/>
      <c r="E440" s="12"/>
    </row>
    <row r="441">
      <c r="C441" s="11"/>
      <c r="D441" s="11"/>
      <c r="E441" s="12"/>
    </row>
    <row r="442">
      <c r="C442" s="11"/>
      <c r="D442" s="11"/>
      <c r="E442" s="12"/>
    </row>
    <row r="443">
      <c r="C443" s="11"/>
      <c r="D443" s="11"/>
      <c r="E443" s="12"/>
    </row>
    <row r="444">
      <c r="C444" s="11"/>
      <c r="D444" s="11"/>
      <c r="E444" s="12"/>
    </row>
    <row r="445">
      <c r="C445" s="11"/>
      <c r="D445" s="11"/>
      <c r="E445" s="12"/>
    </row>
    <row r="446">
      <c r="C446" s="11"/>
      <c r="D446" s="11"/>
      <c r="E446" s="12"/>
    </row>
    <row r="447">
      <c r="C447" s="11"/>
      <c r="D447" s="11"/>
      <c r="E447" s="12"/>
    </row>
    <row r="448">
      <c r="C448" s="11"/>
      <c r="D448" s="11"/>
      <c r="E448" s="12"/>
    </row>
    <row r="449">
      <c r="C449" s="11"/>
      <c r="D449" s="11"/>
      <c r="E449" s="12"/>
    </row>
    <row r="450">
      <c r="C450" s="11"/>
      <c r="D450" s="11"/>
      <c r="E450" s="12"/>
    </row>
    <row r="451">
      <c r="C451" s="11"/>
      <c r="D451" s="11"/>
      <c r="E451" s="12"/>
    </row>
    <row r="452">
      <c r="C452" s="11"/>
      <c r="D452" s="11"/>
      <c r="E452" s="12"/>
    </row>
    <row r="453">
      <c r="C453" s="11"/>
      <c r="D453" s="11"/>
      <c r="E453" s="12"/>
    </row>
    <row r="454">
      <c r="C454" s="11"/>
      <c r="D454" s="11"/>
      <c r="E454" s="12"/>
    </row>
    <row r="455">
      <c r="C455" s="11"/>
      <c r="D455" s="11"/>
      <c r="E455" s="12"/>
    </row>
    <row r="456">
      <c r="C456" s="11"/>
      <c r="D456" s="11"/>
      <c r="E456" s="12"/>
    </row>
    <row r="457">
      <c r="C457" s="11"/>
      <c r="D457" s="11"/>
      <c r="E457" s="12"/>
    </row>
    <row r="458">
      <c r="C458" s="11"/>
      <c r="D458" s="11"/>
      <c r="E458" s="12"/>
    </row>
    <row r="459">
      <c r="C459" s="11"/>
      <c r="D459" s="11"/>
      <c r="E459" s="12"/>
    </row>
    <row r="460">
      <c r="C460" s="11"/>
      <c r="D460" s="11"/>
      <c r="E460" s="12"/>
    </row>
    <row r="461">
      <c r="C461" s="11"/>
      <c r="D461" s="11"/>
      <c r="E461" s="12"/>
    </row>
    <row r="462">
      <c r="C462" s="11"/>
      <c r="D462" s="11"/>
      <c r="E462" s="12"/>
    </row>
    <row r="463">
      <c r="C463" s="11"/>
      <c r="D463" s="11"/>
      <c r="E463" s="12"/>
    </row>
    <row r="464">
      <c r="C464" s="11"/>
      <c r="D464" s="11"/>
      <c r="E464" s="12"/>
    </row>
    <row r="465">
      <c r="C465" s="11"/>
      <c r="D465" s="11"/>
      <c r="E465" s="12"/>
    </row>
    <row r="466">
      <c r="C466" s="11"/>
      <c r="D466" s="11"/>
      <c r="E466" s="12"/>
    </row>
    <row r="467">
      <c r="C467" s="11"/>
      <c r="D467" s="11"/>
      <c r="E467" s="12"/>
    </row>
    <row r="468">
      <c r="C468" s="11"/>
      <c r="D468" s="11"/>
      <c r="E468" s="12"/>
    </row>
    <row r="469">
      <c r="C469" s="11"/>
      <c r="D469" s="11"/>
      <c r="E469" s="12"/>
    </row>
    <row r="470">
      <c r="C470" s="11"/>
      <c r="D470" s="11"/>
      <c r="E470" s="12"/>
    </row>
    <row r="471">
      <c r="C471" s="11"/>
      <c r="D471" s="11"/>
      <c r="E471" s="12"/>
    </row>
    <row r="472">
      <c r="C472" s="11"/>
      <c r="D472" s="11"/>
      <c r="E472" s="12"/>
    </row>
    <row r="473">
      <c r="C473" s="11"/>
      <c r="D473" s="11"/>
      <c r="E473" s="12"/>
    </row>
    <row r="474">
      <c r="C474" s="11"/>
      <c r="D474" s="11"/>
      <c r="E474" s="12"/>
    </row>
    <row r="475">
      <c r="C475" s="11"/>
      <c r="D475" s="11"/>
      <c r="E475" s="12"/>
    </row>
    <row r="476">
      <c r="C476" s="11"/>
      <c r="D476" s="11"/>
      <c r="E476" s="12"/>
    </row>
    <row r="477">
      <c r="C477" s="11"/>
      <c r="D477" s="11"/>
      <c r="E477" s="12"/>
    </row>
    <row r="478">
      <c r="C478" s="11"/>
      <c r="D478" s="11"/>
      <c r="E478" s="12"/>
    </row>
    <row r="479">
      <c r="C479" s="11"/>
      <c r="D479" s="11"/>
      <c r="E479" s="12"/>
    </row>
    <row r="480">
      <c r="C480" s="11"/>
      <c r="D480" s="11"/>
      <c r="E480" s="12"/>
    </row>
    <row r="481">
      <c r="C481" s="11"/>
      <c r="D481" s="11"/>
      <c r="E481" s="12"/>
    </row>
    <row r="482">
      <c r="C482" s="11"/>
      <c r="D482" s="11"/>
      <c r="E482" s="12"/>
    </row>
    <row r="483">
      <c r="C483" s="11"/>
      <c r="D483" s="11"/>
      <c r="E483" s="12"/>
    </row>
    <row r="484">
      <c r="C484" s="11"/>
      <c r="D484" s="11"/>
      <c r="E484" s="12"/>
    </row>
    <row r="485">
      <c r="C485" s="11"/>
      <c r="D485" s="11"/>
      <c r="E485" s="12"/>
    </row>
    <row r="486">
      <c r="C486" s="11"/>
      <c r="D486" s="11"/>
      <c r="E486" s="12"/>
    </row>
    <row r="487">
      <c r="C487" s="11"/>
      <c r="D487" s="11"/>
      <c r="E487" s="12"/>
    </row>
    <row r="488">
      <c r="C488" s="11"/>
      <c r="D488" s="11"/>
      <c r="E488" s="12"/>
    </row>
    <row r="489">
      <c r="C489" s="11"/>
      <c r="D489" s="11"/>
      <c r="E489" s="12"/>
    </row>
    <row r="490">
      <c r="C490" s="11"/>
      <c r="D490" s="11"/>
      <c r="E490" s="12"/>
    </row>
    <row r="491">
      <c r="C491" s="11"/>
      <c r="D491" s="11"/>
      <c r="E491" s="12"/>
    </row>
    <row r="492">
      <c r="C492" s="11"/>
      <c r="D492" s="11"/>
      <c r="E492" s="12"/>
    </row>
    <row r="493">
      <c r="C493" s="11"/>
      <c r="D493" s="11"/>
      <c r="E493" s="12"/>
    </row>
    <row r="494">
      <c r="C494" s="11"/>
      <c r="D494" s="11"/>
      <c r="E494" s="12"/>
    </row>
    <row r="495">
      <c r="C495" s="11"/>
      <c r="D495" s="11"/>
      <c r="E495" s="12"/>
    </row>
    <row r="496">
      <c r="C496" s="11"/>
      <c r="D496" s="11"/>
      <c r="E496" s="12"/>
    </row>
    <row r="497">
      <c r="C497" s="11"/>
      <c r="D497" s="11"/>
      <c r="E497" s="12"/>
    </row>
    <row r="498">
      <c r="C498" s="11"/>
      <c r="D498" s="11"/>
      <c r="E498" s="12"/>
    </row>
    <row r="499">
      <c r="C499" s="11"/>
      <c r="D499" s="11"/>
      <c r="E499" s="12"/>
    </row>
    <row r="500">
      <c r="C500" s="11"/>
      <c r="D500" s="11"/>
      <c r="E500" s="12"/>
    </row>
    <row r="501">
      <c r="C501" s="11"/>
      <c r="D501" s="11"/>
      <c r="E501" s="12"/>
    </row>
    <row r="502">
      <c r="C502" s="11"/>
      <c r="D502" s="11"/>
      <c r="E502" s="12"/>
    </row>
    <row r="503">
      <c r="C503" s="11"/>
      <c r="D503" s="11"/>
      <c r="E503" s="12"/>
    </row>
    <row r="504">
      <c r="C504" s="11"/>
      <c r="D504" s="11"/>
      <c r="E504" s="12"/>
    </row>
    <row r="505">
      <c r="C505" s="11"/>
      <c r="D505" s="11"/>
      <c r="E505" s="12"/>
    </row>
    <row r="506">
      <c r="C506" s="11"/>
      <c r="D506" s="11"/>
      <c r="E506" s="12"/>
    </row>
    <row r="507">
      <c r="C507" s="11"/>
      <c r="D507" s="11"/>
      <c r="E507" s="12"/>
    </row>
    <row r="508">
      <c r="C508" s="11"/>
      <c r="D508" s="11"/>
      <c r="E508" s="12"/>
    </row>
    <row r="509">
      <c r="C509" s="11"/>
      <c r="D509" s="11"/>
      <c r="E509" s="12"/>
    </row>
    <row r="510">
      <c r="C510" s="11"/>
      <c r="D510" s="11"/>
      <c r="E510" s="12"/>
    </row>
    <row r="511">
      <c r="C511" s="11"/>
      <c r="D511" s="11"/>
      <c r="E511" s="12"/>
    </row>
    <row r="512">
      <c r="C512" s="11"/>
      <c r="D512" s="11"/>
      <c r="E512" s="12"/>
    </row>
    <row r="513">
      <c r="C513" s="11"/>
      <c r="D513" s="11"/>
      <c r="E513" s="12"/>
    </row>
    <row r="514">
      <c r="C514" s="11"/>
      <c r="D514" s="11"/>
      <c r="E514" s="12"/>
    </row>
    <row r="515">
      <c r="C515" s="11"/>
      <c r="D515" s="11"/>
      <c r="E515" s="12"/>
    </row>
    <row r="516">
      <c r="C516" s="11"/>
      <c r="D516" s="11"/>
      <c r="E516" s="12"/>
    </row>
    <row r="517">
      <c r="C517" s="11"/>
      <c r="D517" s="11"/>
      <c r="E517" s="12"/>
    </row>
    <row r="518">
      <c r="C518" s="11"/>
      <c r="D518" s="11"/>
      <c r="E518" s="12"/>
    </row>
    <row r="519">
      <c r="C519" s="11"/>
      <c r="D519" s="11"/>
      <c r="E519" s="12"/>
    </row>
    <row r="520">
      <c r="C520" s="11"/>
      <c r="D520" s="11"/>
      <c r="E520" s="12"/>
    </row>
    <row r="521">
      <c r="C521" s="11"/>
      <c r="D521" s="11"/>
      <c r="E521" s="12"/>
    </row>
    <row r="522">
      <c r="C522" s="11"/>
      <c r="D522" s="11"/>
      <c r="E522" s="12"/>
    </row>
    <row r="523">
      <c r="C523" s="11"/>
      <c r="D523" s="11"/>
      <c r="E523" s="12"/>
    </row>
    <row r="524">
      <c r="C524" s="11"/>
      <c r="D524" s="11"/>
      <c r="E524" s="12"/>
    </row>
    <row r="525">
      <c r="C525" s="11"/>
      <c r="D525" s="11"/>
      <c r="E525" s="12"/>
    </row>
    <row r="526">
      <c r="C526" s="11"/>
      <c r="D526" s="11"/>
      <c r="E526" s="12"/>
    </row>
    <row r="527">
      <c r="C527" s="11"/>
      <c r="D527" s="11"/>
      <c r="E527" s="12"/>
    </row>
    <row r="528">
      <c r="C528" s="11"/>
      <c r="D528" s="11"/>
      <c r="E528" s="12"/>
    </row>
    <row r="529">
      <c r="C529" s="11"/>
      <c r="D529" s="11"/>
      <c r="E529" s="12"/>
    </row>
    <row r="530">
      <c r="C530" s="11"/>
      <c r="D530" s="11"/>
      <c r="E530" s="12"/>
    </row>
    <row r="531">
      <c r="C531" s="11"/>
      <c r="D531" s="11"/>
      <c r="E531" s="12"/>
    </row>
    <row r="532">
      <c r="C532" s="11"/>
      <c r="D532" s="11"/>
      <c r="E532" s="12"/>
    </row>
    <row r="533">
      <c r="C533" s="11"/>
      <c r="D533" s="11"/>
      <c r="E533" s="12"/>
    </row>
    <row r="534">
      <c r="C534" s="11"/>
      <c r="D534" s="11"/>
      <c r="E534" s="12"/>
    </row>
    <row r="535">
      <c r="C535" s="11"/>
      <c r="D535" s="11"/>
      <c r="E535" s="12"/>
    </row>
    <row r="536">
      <c r="C536" s="11"/>
      <c r="D536" s="11"/>
      <c r="E536" s="12"/>
    </row>
    <row r="537">
      <c r="C537" s="11"/>
      <c r="D537" s="11"/>
      <c r="E537" s="12"/>
    </row>
    <row r="538">
      <c r="C538" s="11"/>
      <c r="D538" s="11"/>
      <c r="E538" s="12"/>
    </row>
    <row r="539">
      <c r="C539" s="11"/>
      <c r="D539" s="11"/>
      <c r="E539" s="12"/>
    </row>
    <row r="540">
      <c r="C540" s="11"/>
      <c r="D540" s="11"/>
      <c r="E540" s="12"/>
    </row>
    <row r="541">
      <c r="C541" s="11"/>
      <c r="D541" s="11"/>
      <c r="E541" s="12"/>
    </row>
    <row r="542">
      <c r="C542" s="11"/>
      <c r="D542" s="11"/>
      <c r="E542" s="12"/>
    </row>
    <row r="543">
      <c r="C543" s="11"/>
      <c r="D543" s="11"/>
      <c r="E543" s="12"/>
    </row>
    <row r="544">
      <c r="C544" s="11"/>
      <c r="D544" s="11"/>
      <c r="E544" s="12"/>
    </row>
    <row r="545">
      <c r="C545" s="11"/>
      <c r="D545" s="11"/>
      <c r="E545" s="12"/>
    </row>
    <row r="546">
      <c r="C546" s="11"/>
      <c r="D546" s="11"/>
      <c r="E546" s="12"/>
    </row>
    <row r="547">
      <c r="C547" s="11"/>
      <c r="D547" s="11"/>
      <c r="E547" s="12"/>
    </row>
    <row r="548">
      <c r="C548" s="11"/>
      <c r="D548" s="11"/>
      <c r="E548" s="12"/>
    </row>
    <row r="549">
      <c r="C549" s="11"/>
      <c r="D549" s="11"/>
      <c r="E549" s="12"/>
    </row>
    <row r="550">
      <c r="C550" s="11"/>
      <c r="D550" s="11"/>
      <c r="E550" s="12"/>
    </row>
    <row r="551">
      <c r="C551" s="11"/>
      <c r="D551" s="11"/>
      <c r="E551" s="12"/>
    </row>
    <row r="552">
      <c r="C552" s="11"/>
      <c r="D552" s="11"/>
      <c r="E552" s="12"/>
    </row>
    <row r="553">
      <c r="C553" s="11"/>
      <c r="D553" s="11"/>
      <c r="E553" s="12"/>
    </row>
    <row r="554">
      <c r="C554" s="11"/>
      <c r="D554" s="11"/>
      <c r="E554" s="12"/>
    </row>
    <row r="555">
      <c r="C555" s="11"/>
      <c r="D555" s="11"/>
      <c r="E555" s="12"/>
    </row>
    <row r="556">
      <c r="C556" s="11"/>
      <c r="D556" s="11"/>
      <c r="E556" s="12"/>
    </row>
    <row r="557">
      <c r="C557" s="11"/>
      <c r="D557" s="11"/>
      <c r="E557" s="12"/>
    </row>
    <row r="558">
      <c r="C558" s="11"/>
      <c r="D558" s="11"/>
      <c r="E558" s="12"/>
    </row>
    <row r="559">
      <c r="C559" s="11"/>
      <c r="D559" s="11"/>
      <c r="E559" s="12"/>
    </row>
    <row r="560">
      <c r="C560" s="11"/>
      <c r="D560" s="11"/>
      <c r="E560" s="12"/>
    </row>
    <row r="561">
      <c r="C561" s="11"/>
      <c r="D561" s="11"/>
      <c r="E561" s="12"/>
    </row>
    <row r="562">
      <c r="C562" s="11"/>
      <c r="D562" s="11"/>
      <c r="E562" s="12"/>
    </row>
    <row r="563">
      <c r="C563" s="11"/>
      <c r="D563" s="11"/>
      <c r="E563" s="12"/>
    </row>
    <row r="564">
      <c r="C564" s="11"/>
      <c r="D564" s="11"/>
      <c r="E564" s="12"/>
    </row>
    <row r="565">
      <c r="C565" s="11"/>
      <c r="D565" s="11"/>
      <c r="E565" s="12"/>
    </row>
    <row r="566">
      <c r="C566" s="11"/>
      <c r="D566" s="11"/>
      <c r="E566" s="12"/>
    </row>
    <row r="567">
      <c r="C567" s="11"/>
      <c r="D567" s="11"/>
      <c r="E567" s="12"/>
    </row>
    <row r="568">
      <c r="C568" s="11"/>
      <c r="D568" s="11"/>
      <c r="E568" s="12"/>
    </row>
    <row r="569">
      <c r="C569" s="11"/>
      <c r="D569" s="11"/>
      <c r="E569" s="12"/>
    </row>
    <row r="570">
      <c r="C570" s="11"/>
      <c r="D570" s="11"/>
      <c r="E570" s="12"/>
    </row>
    <row r="571">
      <c r="C571" s="11"/>
      <c r="D571" s="11"/>
      <c r="E571" s="12"/>
    </row>
    <row r="572">
      <c r="C572" s="11"/>
      <c r="D572" s="11"/>
      <c r="E572" s="12"/>
    </row>
    <row r="573">
      <c r="C573" s="11"/>
      <c r="D573" s="11"/>
      <c r="E573" s="12"/>
    </row>
    <row r="574">
      <c r="C574" s="11"/>
      <c r="D574" s="11"/>
      <c r="E574" s="12"/>
    </row>
    <row r="575">
      <c r="C575" s="11"/>
      <c r="D575" s="11"/>
      <c r="E575" s="12"/>
    </row>
    <row r="576">
      <c r="C576" s="11"/>
      <c r="D576" s="11"/>
      <c r="E576" s="12"/>
    </row>
    <row r="577">
      <c r="C577" s="11"/>
      <c r="D577" s="11"/>
      <c r="E577" s="12"/>
    </row>
    <row r="578">
      <c r="C578" s="11"/>
      <c r="D578" s="11"/>
      <c r="E578" s="12"/>
    </row>
    <row r="579">
      <c r="C579" s="11"/>
      <c r="D579" s="11"/>
      <c r="E579" s="12"/>
    </row>
    <row r="580">
      <c r="C580" s="11"/>
      <c r="D580" s="11"/>
      <c r="E580" s="12"/>
    </row>
    <row r="581">
      <c r="C581" s="11"/>
      <c r="D581" s="11"/>
      <c r="E581" s="12"/>
    </row>
    <row r="582">
      <c r="C582" s="11"/>
      <c r="D582" s="11"/>
      <c r="E582" s="12"/>
    </row>
    <row r="583">
      <c r="C583" s="11"/>
      <c r="D583" s="11"/>
      <c r="E583" s="12"/>
    </row>
    <row r="584">
      <c r="C584" s="11"/>
      <c r="D584" s="11"/>
      <c r="E584" s="12"/>
    </row>
    <row r="585">
      <c r="C585" s="11"/>
      <c r="D585" s="11"/>
      <c r="E585" s="12"/>
    </row>
    <row r="586">
      <c r="C586" s="11"/>
      <c r="D586" s="11"/>
      <c r="E586" s="12"/>
    </row>
    <row r="587">
      <c r="C587" s="11"/>
      <c r="D587" s="11"/>
      <c r="E587" s="12"/>
    </row>
    <row r="588">
      <c r="C588" s="11"/>
      <c r="D588" s="11"/>
      <c r="E588" s="12"/>
    </row>
    <row r="589">
      <c r="C589" s="11"/>
      <c r="D589" s="11"/>
      <c r="E589" s="12"/>
    </row>
    <row r="590">
      <c r="C590" s="11"/>
      <c r="D590" s="11"/>
      <c r="E590" s="12"/>
    </row>
    <row r="591">
      <c r="C591" s="11"/>
      <c r="D591" s="11"/>
      <c r="E591" s="12"/>
    </row>
    <row r="592">
      <c r="C592" s="11"/>
      <c r="D592" s="11"/>
      <c r="E592" s="12"/>
    </row>
    <row r="593">
      <c r="C593" s="11"/>
      <c r="D593" s="11"/>
      <c r="E593" s="12"/>
    </row>
    <row r="594">
      <c r="C594" s="11"/>
      <c r="D594" s="11"/>
      <c r="E594" s="12"/>
    </row>
    <row r="595">
      <c r="C595" s="11"/>
      <c r="D595" s="11"/>
      <c r="E595" s="12"/>
    </row>
    <row r="596">
      <c r="C596" s="11"/>
      <c r="D596" s="11"/>
      <c r="E596" s="12"/>
    </row>
    <row r="597">
      <c r="C597" s="11"/>
      <c r="D597" s="11"/>
      <c r="E597" s="12"/>
    </row>
    <row r="598">
      <c r="C598" s="11"/>
      <c r="D598" s="11"/>
      <c r="E598" s="12"/>
    </row>
    <row r="599">
      <c r="C599" s="11"/>
      <c r="D599" s="11"/>
      <c r="E599" s="12"/>
    </row>
    <row r="600">
      <c r="C600" s="11"/>
      <c r="D600" s="11"/>
      <c r="E600" s="12"/>
    </row>
    <row r="601">
      <c r="C601" s="11"/>
      <c r="D601" s="11"/>
      <c r="E601" s="12"/>
    </row>
    <row r="602">
      <c r="C602" s="11"/>
      <c r="D602" s="11"/>
      <c r="E602" s="12"/>
    </row>
    <row r="603">
      <c r="C603" s="11"/>
      <c r="D603" s="11"/>
      <c r="E603" s="12"/>
    </row>
    <row r="604">
      <c r="C604" s="11"/>
      <c r="D604" s="11"/>
      <c r="E604" s="12"/>
    </row>
    <row r="605">
      <c r="C605" s="11"/>
      <c r="D605" s="11"/>
      <c r="E605" s="12"/>
    </row>
    <row r="606">
      <c r="C606" s="11"/>
      <c r="D606" s="11"/>
      <c r="E606" s="12"/>
    </row>
    <row r="607">
      <c r="C607" s="11"/>
      <c r="D607" s="11"/>
      <c r="E607" s="12"/>
    </row>
    <row r="608">
      <c r="C608" s="11"/>
      <c r="D608" s="11"/>
      <c r="E608" s="12"/>
    </row>
    <row r="609">
      <c r="C609" s="11"/>
      <c r="D609" s="11"/>
      <c r="E609" s="12"/>
    </row>
    <row r="610">
      <c r="C610" s="11"/>
      <c r="D610" s="11"/>
      <c r="E610" s="12"/>
    </row>
    <row r="611">
      <c r="C611" s="11"/>
      <c r="D611" s="11"/>
      <c r="E611" s="12"/>
    </row>
    <row r="612">
      <c r="C612" s="11"/>
      <c r="D612" s="11"/>
      <c r="E612" s="12"/>
    </row>
    <row r="613">
      <c r="C613" s="11"/>
      <c r="D613" s="11"/>
      <c r="E613" s="12"/>
    </row>
    <row r="614">
      <c r="C614" s="11"/>
      <c r="D614" s="11"/>
      <c r="E614" s="12"/>
    </row>
    <row r="615">
      <c r="C615" s="11"/>
      <c r="D615" s="11"/>
      <c r="E615" s="12"/>
    </row>
    <row r="616">
      <c r="C616" s="11"/>
      <c r="D616" s="11"/>
      <c r="E616" s="12"/>
    </row>
    <row r="617">
      <c r="C617" s="11"/>
      <c r="D617" s="11"/>
      <c r="E617" s="12"/>
    </row>
    <row r="618">
      <c r="C618" s="11"/>
      <c r="D618" s="11"/>
      <c r="E618" s="12"/>
    </row>
    <row r="619">
      <c r="C619" s="11"/>
      <c r="D619" s="11"/>
      <c r="E619" s="12"/>
    </row>
    <row r="620">
      <c r="C620" s="11"/>
      <c r="D620" s="11"/>
      <c r="E620" s="12"/>
    </row>
    <row r="621">
      <c r="C621" s="11"/>
      <c r="D621" s="11"/>
      <c r="E621" s="12"/>
    </row>
    <row r="622">
      <c r="C622" s="11"/>
      <c r="D622" s="11"/>
      <c r="E622" s="12"/>
    </row>
    <row r="623">
      <c r="C623" s="11"/>
      <c r="D623" s="11"/>
      <c r="E623" s="12"/>
    </row>
    <row r="624">
      <c r="C624" s="11"/>
      <c r="D624" s="11"/>
      <c r="E624" s="12"/>
    </row>
    <row r="625">
      <c r="C625" s="11"/>
      <c r="D625" s="11"/>
      <c r="E625" s="12"/>
    </row>
    <row r="626">
      <c r="C626" s="11"/>
      <c r="D626" s="11"/>
      <c r="E626" s="12"/>
    </row>
    <row r="627">
      <c r="C627" s="11"/>
      <c r="D627" s="11"/>
      <c r="E627" s="12"/>
    </row>
    <row r="628">
      <c r="C628" s="11"/>
      <c r="D628" s="11"/>
      <c r="E628" s="12"/>
    </row>
    <row r="629">
      <c r="C629" s="11"/>
      <c r="D629" s="11"/>
      <c r="E629" s="12"/>
    </row>
    <row r="630">
      <c r="C630" s="11"/>
      <c r="D630" s="11"/>
      <c r="E630" s="12"/>
    </row>
    <row r="631">
      <c r="C631" s="11"/>
      <c r="D631" s="11"/>
      <c r="E631" s="12"/>
    </row>
    <row r="632">
      <c r="C632" s="11"/>
      <c r="D632" s="11"/>
      <c r="E632" s="12"/>
    </row>
    <row r="633">
      <c r="C633" s="11"/>
      <c r="D633" s="11"/>
      <c r="E633" s="12"/>
    </row>
    <row r="634">
      <c r="C634" s="11"/>
      <c r="D634" s="11"/>
      <c r="E634" s="12"/>
    </row>
    <row r="635">
      <c r="C635" s="11"/>
      <c r="D635" s="11"/>
      <c r="E635" s="12"/>
    </row>
    <row r="636">
      <c r="C636" s="11"/>
      <c r="D636" s="11"/>
      <c r="E636" s="12"/>
    </row>
    <row r="637">
      <c r="C637" s="11"/>
      <c r="D637" s="11"/>
      <c r="E637" s="12"/>
    </row>
    <row r="638">
      <c r="C638" s="11"/>
      <c r="D638" s="11"/>
      <c r="E638" s="12"/>
    </row>
    <row r="639">
      <c r="C639" s="11"/>
      <c r="D639" s="11"/>
      <c r="E639" s="12"/>
    </row>
    <row r="640">
      <c r="C640" s="11"/>
      <c r="D640" s="11"/>
      <c r="E640" s="12"/>
    </row>
    <row r="641">
      <c r="C641" s="11"/>
      <c r="D641" s="11"/>
      <c r="E641" s="12"/>
    </row>
    <row r="642">
      <c r="C642" s="11"/>
      <c r="D642" s="11"/>
      <c r="E642" s="12"/>
    </row>
    <row r="643">
      <c r="C643" s="11"/>
      <c r="D643" s="11"/>
      <c r="E643" s="12"/>
    </row>
    <row r="644">
      <c r="C644" s="11"/>
      <c r="D644" s="11"/>
      <c r="E644" s="12"/>
    </row>
    <row r="645">
      <c r="C645" s="11"/>
      <c r="D645" s="11"/>
      <c r="E645" s="12"/>
    </row>
    <row r="646">
      <c r="C646" s="11"/>
      <c r="D646" s="11"/>
      <c r="E646" s="12"/>
    </row>
    <row r="647">
      <c r="C647" s="11"/>
      <c r="D647" s="11"/>
      <c r="E647" s="12"/>
    </row>
    <row r="648">
      <c r="C648" s="11"/>
      <c r="D648" s="11"/>
      <c r="E648" s="12"/>
    </row>
    <row r="649">
      <c r="C649" s="11"/>
      <c r="D649" s="11"/>
      <c r="E649" s="12"/>
    </row>
    <row r="650">
      <c r="C650" s="11"/>
      <c r="D650" s="11"/>
      <c r="E650" s="12"/>
    </row>
    <row r="651">
      <c r="C651" s="11"/>
      <c r="D651" s="11"/>
      <c r="E651" s="12"/>
    </row>
    <row r="652">
      <c r="C652" s="11"/>
      <c r="D652" s="11"/>
      <c r="E652" s="12"/>
    </row>
    <row r="653">
      <c r="C653" s="11"/>
      <c r="D653" s="11"/>
      <c r="E653" s="12"/>
    </row>
    <row r="654">
      <c r="C654" s="11"/>
      <c r="D654" s="11"/>
      <c r="E654" s="12"/>
    </row>
    <row r="655">
      <c r="C655" s="11"/>
      <c r="D655" s="11"/>
      <c r="E655" s="12"/>
    </row>
    <row r="656">
      <c r="C656" s="11"/>
      <c r="D656" s="11"/>
      <c r="E656" s="12"/>
    </row>
    <row r="657">
      <c r="C657" s="11"/>
      <c r="D657" s="11"/>
      <c r="E657" s="12"/>
    </row>
    <row r="658">
      <c r="C658" s="11"/>
      <c r="D658" s="11"/>
      <c r="E658" s="12"/>
    </row>
    <row r="659">
      <c r="C659" s="11"/>
      <c r="D659" s="11"/>
      <c r="E659" s="12"/>
    </row>
    <row r="660">
      <c r="C660" s="11"/>
      <c r="D660" s="11"/>
      <c r="E660" s="12"/>
    </row>
    <row r="661">
      <c r="C661" s="11"/>
      <c r="D661" s="11"/>
      <c r="E661" s="12"/>
    </row>
    <row r="662">
      <c r="C662" s="11"/>
      <c r="D662" s="11"/>
      <c r="E662" s="12"/>
    </row>
    <row r="663">
      <c r="C663" s="11"/>
      <c r="D663" s="11"/>
      <c r="E663" s="12"/>
    </row>
    <row r="664">
      <c r="C664" s="11"/>
      <c r="D664" s="11"/>
      <c r="E664" s="12"/>
    </row>
    <row r="665">
      <c r="C665" s="11"/>
      <c r="D665" s="11"/>
      <c r="E665" s="12"/>
    </row>
    <row r="666">
      <c r="C666" s="11"/>
      <c r="D666" s="11"/>
      <c r="E666" s="12"/>
    </row>
    <row r="667">
      <c r="C667" s="11"/>
      <c r="D667" s="11"/>
      <c r="E667" s="12"/>
    </row>
    <row r="668">
      <c r="C668" s="11"/>
      <c r="D668" s="11"/>
      <c r="E668" s="12"/>
    </row>
    <row r="669">
      <c r="C669" s="11"/>
      <c r="D669" s="11"/>
      <c r="E669" s="12"/>
    </row>
    <row r="670">
      <c r="C670" s="11"/>
      <c r="D670" s="11"/>
      <c r="E670" s="12"/>
    </row>
    <row r="671">
      <c r="C671" s="11"/>
      <c r="D671" s="11"/>
      <c r="E671" s="12"/>
    </row>
    <row r="672">
      <c r="C672" s="11"/>
      <c r="D672" s="11"/>
      <c r="E672" s="12"/>
    </row>
    <row r="673">
      <c r="C673" s="11"/>
      <c r="D673" s="11"/>
      <c r="E673" s="12"/>
    </row>
    <row r="674">
      <c r="C674" s="11"/>
      <c r="D674" s="11"/>
      <c r="E674" s="12"/>
    </row>
    <row r="675">
      <c r="C675" s="11"/>
      <c r="D675" s="11"/>
      <c r="E675" s="12"/>
    </row>
    <row r="676">
      <c r="C676" s="11"/>
      <c r="D676" s="11"/>
      <c r="E676" s="12"/>
    </row>
    <row r="677">
      <c r="C677" s="11"/>
      <c r="D677" s="11"/>
      <c r="E677" s="12"/>
    </row>
    <row r="678">
      <c r="C678" s="11"/>
      <c r="D678" s="11"/>
      <c r="E678" s="12"/>
    </row>
    <row r="679">
      <c r="C679" s="11"/>
      <c r="D679" s="11"/>
      <c r="E679" s="12"/>
    </row>
    <row r="680">
      <c r="C680" s="11"/>
      <c r="D680" s="11"/>
      <c r="E680" s="12"/>
    </row>
    <row r="681">
      <c r="C681" s="11"/>
      <c r="D681" s="11"/>
      <c r="E681" s="12"/>
    </row>
    <row r="682">
      <c r="C682" s="11"/>
      <c r="D682" s="11"/>
      <c r="E682" s="12"/>
    </row>
    <row r="683">
      <c r="C683" s="11"/>
      <c r="D683" s="11"/>
      <c r="E683" s="12"/>
    </row>
    <row r="684">
      <c r="C684" s="11"/>
      <c r="D684" s="11"/>
      <c r="E684" s="12"/>
    </row>
    <row r="685">
      <c r="C685" s="11"/>
      <c r="D685" s="11"/>
      <c r="E685" s="12"/>
    </row>
    <row r="686">
      <c r="C686" s="11"/>
      <c r="D686" s="11"/>
      <c r="E686" s="12"/>
    </row>
    <row r="687">
      <c r="C687" s="11"/>
      <c r="D687" s="11"/>
      <c r="E687" s="12"/>
    </row>
    <row r="688">
      <c r="C688" s="11"/>
      <c r="D688" s="11"/>
      <c r="E688" s="12"/>
    </row>
    <row r="689">
      <c r="C689" s="11"/>
      <c r="D689" s="11"/>
      <c r="E689" s="12"/>
    </row>
    <row r="690">
      <c r="C690" s="11"/>
      <c r="D690" s="11"/>
      <c r="E690" s="12"/>
    </row>
    <row r="691">
      <c r="C691" s="11"/>
      <c r="D691" s="11"/>
      <c r="E691" s="12"/>
    </row>
    <row r="692">
      <c r="C692" s="11"/>
      <c r="D692" s="11"/>
      <c r="E692" s="12"/>
    </row>
    <row r="693">
      <c r="C693" s="11"/>
      <c r="D693" s="11"/>
      <c r="E693" s="12"/>
    </row>
    <row r="694">
      <c r="C694" s="11"/>
      <c r="D694" s="11"/>
      <c r="E694" s="12"/>
    </row>
    <row r="695">
      <c r="C695" s="11"/>
      <c r="D695" s="11"/>
      <c r="E695" s="12"/>
    </row>
    <row r="696">
      <c r="C696" s="11"/>
      <c r="D696" s="11"/>
      <c r="E696" s="12"/>
    </row>
    <row r="697">
      <c r="C697" s="11"/>
      <c r="D697" s="11"/>
      <c r="E697" s="12"/>
    </row>
    <row r="698">
      <c r="C698" s="11"/>
      <c r="D698" s="11"/>
      <c r="E698" s="12"/>
    </row>
    <row r="699">
      <c r="C699" s="11"/>
      <c r="D699" s="11"/>
      <c r="E699" s="12"/>
    </row>
    <row r="700">
      <c r="C700" s="11"/>
      <c r="D700" s="11"/>
      <c r="E700" s="12"/>
    </row>
    <row r="701">
      <c r="C701" s="11"/>
      <c r="D701" s="11"/>
      <c r="E701" s="12"/>
    </row>
    <row r="702">
      <c r="C702" s="11"/>
      <c r="D702" s="11"/>
      <c r="E702" s="12"/>
    </row>
    <row r="703">
      <c r="C703" s="11"/>
      <c r="D703" s="11"/>
      <c r="E703" s="12"/>
    </row>
    <row r="704">
      <c r="C704" s="11"/>
      <c r="D704" s="11"/>
      <c r="E704" s="12"/>
    </row>
    <row r="705">
      <c r="C705" s="11"/>
      <c r="D705" s="11"/>
      <c r="E705" s="12"/>
    </row>
    <row r="706">
      <c r="C706" s="11"/>
      <c r="D706" s="11"/>
      <c r="E706" s="12"/>
    </row>
    <row r="707">
      <c r="C707" s="11"/>
      <c r="D707" s="11"/>
      <c r="E707" s="12"/>
    </row>
    <row r="708">
      <c r="C708" s="11"/>
      <c r="D708" s="11"/>
      <c r="E708" s="12"/>
    </row>
    <row r="709">
      <c r="C709" s="11"/>
      <c r="D709" s="11"/>
      <c r="E709" s="12"/>
    </row>
    <row r="710">
      <c r="C710" s="11"/>
      <c r="D710" s="11"/>
      <c r="E710" s="12"/>
    </row>
    <row r="711">
      <c r="C711" s="11"/>
      <c r="D711" s="11"/>
      <c r="E711" s="12"/>
    </row>
    <row r="712">
      <c r="C712" s="11"/>
      <c r="D712" s="11"/>
      <c r="E712" s="12"/>
    </row>
    <row r="713">
      <c r="C713" s="11"/>
      <c r="D713" s="11"/>
      <c r="E713" s="12"/>
    </row>
    <row r="714">
      <c r="C714" s="11"/>
      <c r="D714" s="11"/>
      <c r="E714" s="12"/>
    </row>
    <row r="715">
      <c r="C715" s="11"/>
      <c r="D715" s="11"/>
      <c r="E715" s="12"/>
    </row>
    <row r="716">
      <c r="C716" s="11"/>
      <c r="D716" s="11"/>
      <c r="E716" s="12"/>
    </row>
    <row r="717">
      <c r="C717" s="11"/>
      <c r="D717" s="11"/>
      <c r="E717" s="12"/>
    </row>
    <row r="718">
      <c r="C718" s="11"/>
      <c r="D718" s="11"/>
      <c r="E718" s="12"/>
    </row>
    <row r="719">
      <c r="C719" s="11"/>
      <c r="D719" s="11"/>
      <c r="E719" s="12"/>
    </row>
    <row r="720">
      <c r="C720" s="11"/>
      <c r="D720" s="11"/>
      <c r="E720" s="12"/>
    </row>
    <row r="721">
      <c r="C721" s="11"/>
      <c r="D721" s="11"/>
      <c r="E721" s="12"/>
    </row>
    <row r="722">
      <c r="C722" s="11"/>
      <c r="D722" s="11"/>
      <c r="E722" s="12"/>
    </row>
    <row r="723">
      <c r="C723" s="11"/>
      <c r="D723" s="11"/>
      <c r="E723" s="12"/>
    </row>
    <row r="724">
      <c r="C724" s="11"/>
      <c r="D724" s="11"/>
      <c r="E724" s="12"/>
    </row>
    <row r="725">
      <c r="C725" s="11"/>
      <c r="D725" s="11"/>
      <c r="E725" s="12"/>
    </row>
    <row r="726">
      <c r="C726" s="11"/>
      <c r="D726" s="11"/>
      <c r="E726" s="12"/>
    </row>
    <row r="727">
      <c r="C727" s="11"/>
      <c r="D727" s="11"/>
      <c r="E727" s="12"/>
    </row>
    <row r="728">
      <c r="C728" s="11"/>
      <c r="D728" s="11"/>
      <c r="E728" s="12"/>
    </row>
    <row r="729">
      <c r="C729" s="11"/>
      <c r="D729" s="11"/>
      <c r="E729" s="12"/>
    </row>
    <row r="730">
      <c r="C730" s="11"/>
      <c r="D730" s="11"/>
      <c r="E730" s="12"/>
    </row>
    <row r="731">
      <c r="C731" s="11"/>
      <c r="D731" s="11"/>
      <c r="E731" s="12"/>
    </row>
    <row r="732">
      <c r="C732" s="11"/>
      <c r="D732" s="11"/>
      <c r="E732" s="12"/>
    </row>
    <row r="733">
      <c r="C733" s="11"/>
      <c r="D733" s="11"/>
      <c r="E733" s="12"/>
    </row>
    <row r="734">
      <c r="C734" s="11"/>
      <c r="D734" s="11"/>
      <c r="E734" s="12"/>
    </row>
    <row r="735">
      <c r="C735" s="11"/>
      <c r="D735" s="11"/>
      <c r="E735" s="12"/>
    </row>
    <row r="736">
      <c r="C736" s="11"/>
      <c r="D736" s="11"/>
      <c r="E736" s="12"/>
    </row>
    <row r="737">
      <c r="C737" s="11"/>
      <c r="D737" s="11"/>
      <c r="E737" s="12"/>
    </row>
    <row r="738">
      <c r="C738" s="11"/>
      <c r="D738" s="11"/>
      <c r="E738" s="12"/>
    </row>
    <row r="739">
      <c r="C739" s="11"/>
      <c r="D739" s="11"/>
      <c r="E739" s="12"/>
    </row>
    <row r="740">
      <c r="C740" s="11"/>
      <c r="D740" s="11"/>
      <c r="E740" s="12"/>
    </row>
    <row r="741">
      <c r="C741" s="11"/>
      <c r="D741" s="11"/>
      <c r="E741" s="12"/>
    </row>
    <row r="742">
      <c r="C742" s="11"/>
      <c r="D742" s="11"/>
      <c r="E742" s="12"/>
    </row>
    <row r="743">
      <c r="C743" s="11"/>
      <c r="D743" s="11"/>
      <c r="E743" s="12"/>
    </row>
    <row r="744">
      <c r="C744" s="11"/>
      <c r="D744" s="11"/>
      <c r="E744" s="12"/>
    </row>
    <row r="745">
      <c r="C745" s="11"/>
      <c r="D745" s="11"/>
      <c r="E745" s="12"/>
    </row>
    <row r="746">
      <c r="C746" s="11"/>
      <c r="D746" s="11"/>
      <c r="E746" s="12"/>
    </row>
    <row r="747">
      <c r="C747" s="11"/>
      <c r="D747" s="11"/>
      <c r="E747" s="12"/>
    </row>
    <row r="748">
      <c r="C748" s="11"/>
      <c r="D748" s="11"/>
      <c r="E748" s="12"/>
    </row>
    <row r="749">
      <c r="C749" s="11"/>
      <c r="D749" s="11"/>
      <c r="E749" s="12"/>
    </row>
    <row r="750">
      <c r="C750" s="11"/>
      <c r="D750" s="11"/>
      <c r="E750" s="12"/>
    </row>
    <row r="751">
      <c r="C751" s="11"/>
      <c r="D751" s="11"/>
      <c r="E751" s="12"/>
    </row>
    <row r="752">
      <c r="C752" s="11"/>
      <c r="D752" s="11"/>
      <c r="E752" s="12"/>
    </row>
    <row r="753">
      <c r="C753" s="11"/>
      <c r="D753" s="11"/>
      <c r="E753" s="12"/>
    </row>
    <row r="754">
      <c r="C754" s="11"/>
      <c r="D754" s="11"/>
      <c r="E754" s="12"/>
    </row>
    <row r="755">
      <c r="C755" s="11"/>
      <c r="D755" s="11"/>
      <c r="E755" s="12"/>
    </row>
    <row r="756">
      <c r="C756" s="11"/>
      <c r="D756" s="11"/>
      <c r="E756" s="12"/>
    </row>
    <row r="757">
      <c r="C757" s="11"/>
      <c r="D757" s="11"/>
      <c r="E757" s="12"/>
    </row>
    <row r="758">
      <c r="C758" s="11"/>
      <c r="D758" s="11"/>
      <c r="E758" s="12"/>
    </row>
    <row r="759">
      <c r="C759" s="11"/>
      <c r="D759" s="11"/>
      <c r="E759" s="12"/>
    </row>
    <row r="760">
      <c r="C760" s="11"/>
      <c r="D760" s="11"/>
      <c r="E760" s="12"/>
    </row>
    <row r="761">
      <c r="C761" s="11"/>
      <c r="D761" s="11"/>
      <c r="E761" s="12"/>
    </row>
    <row r="762">
      <c r="C762" s="11"/>
      <c r="D762" s="11"/>
      <c r="E762" s="12"/>
    </row>
    <row r="763">
      <c r="C763" s="11"/>
      <c r="D763" s="11"/>
      <c r="E763" s="12"/>
    </row>
    <row r="764">
      <c r="C764" s="11"/>
      <c r="D764" s="11"/>
      <c r="E764" s="12"/>
    </row>
    <row r="765">
      <c r="C765" s="11"/>
      <c r="D765" s="11"/>
      <c r="E765" s="12"/>
    </row>
    <row r="766">
      <c r="C766" s="11"/>
      <c r="D766" s="11"/>
      <c r="E766" s="12"/>
    </row>
    <row r="767">
      <c r="C767" s="11"/>
      <c r="D767" s="11"/>
      <c r="E767" s="12"/>
    </row>
    <row r="768">
      <c r="C768" s="11"/>
      <c r="D768" s="11"/>
      <c r="E768" s="12"/>
    </row>
    <row r="769">
      <c r="C769" s="11"/>
      <c r="D769" s="11"/>
      <c r="E769" s="12"/>
    </row>
    <row r="770">
      <c r="C770" s="11"/>
      <c r="D770" s="11"/>
      <c r="E770" s="12"/>
    </row>
    <row r="771">
      <c r="C771" s="11"/>
      <c r="D771" s="11"/>
      <c r="E771" s="12"/>
    </row>
    <row r="772">
      <c r="C772" s="11"/>
      <c r="D772" s="11"/>
      <c r="E772" s="12"/>
    </row>
    <row r="773">
      <c r="C773" s="11"/>
      <c r="D773" s="11"/>
      <c r="E773" s="12"/>
    </row>
    <row r="774">
      <c r="C774" s="11"/>
      <c r="D774" s="11"/>
      <c r="E774" s="12"/>
    </row>
    <row r="775">
      <c r="C775" s="11"/>
      <c r="D775" s="11"/>
      <c r="E775" s="12"/>
    </row>
    <row r="776">
      <c r="C776" s="11"/>
      <c r="D776" s="11"/>
      <c r="E776" s="12"/>
    </row>
    <row r="777">
      <c r="C777" s="11"/>
      <c r="D777" s="11"/>
      <c r="E777" s="12"/>
    </row>
    <row r="778">
      <c r="C778" s="11"/>
      <c r="D778" s="11"/>
      <c r="E778" s="12"/>
    </row>
    <row r="779">
      <c r="C779" s="11"/>
      <c r="D779" s="11"/>
      <c r="E779" s="12"/>
    </row>
    <row r="780">
      <c r="C780" s="11"/>
      <c r="D780" s="11"/>
      <c r="E780" s="12"/>
    </row>
    <row r="781">
      <c r="C781" s="11"/>
      <c r="D781" s="11"/>
      <c r="E781" s="12"/>
    </row>
    <row r="782">
      <c r="C782" s="11"/>
      <c r="D782" s="11"/>
      <c r="E782" s="12"/>
    </row>
    <row r="783">
      <c r="C783" s="11"/>
      <c r="D783" s="11"/>
      <c r="E783" s="12"/>
    </row>
    <row r="784">
      <c r="C784" s="11"/>
      <c r="D784" s="11"/>
      <c r="E784" s="12"/>
    </row>
    <row r="785">
      <c r="C785" s="11"/>
      <c r="D785" s="11"/>
      <c r="E785" s="12"/>
    </row>
    <row r="786">
      <c r="C786" s="11"/>
      <c r="D786" s="11"/>
      <c r="E786" s="12"/>
    </row>
    <row r="787">
      <c r="C787" s="11"/>
      <c r="D787" s="11"/>
      <c r="E787" s="12"/>
    </row>
    <row r="788">
      <c r="C788" s="11"/>
      <c r="D788" s="11"/>
      <c r="E788" s="12"/>
    </row>
    <row r="789">
      <c r="C789" s="11"/>
      <c r="D789" s="11"/>
      <c r="E789" s="12"/>
    </row>
    <row r="790">
      <c r="C790" s="11"/>
      <c r="D790" s="11"/>
      <c r="E790" s="12"/>
    </row>
    <row r="791">
      <c r="C791" s="11"/>
      <c r="D791" s="11"/>
      <c r="E791" s="12"/>
    </row>
    <row r="792">
      <c r="C792" s="11"/>
      <c r="D792" s="11"/>
      <c r="E792" s="12"/>
    </row>
    <row r="793">
      <c r="C793" s="11"/>
      <c r="D793" s="11"/>
      <c r="E793" s="12"/>
    </row>
    <row r="794">
      <c r="C794" s="11"/>
      <c r="D794" s="11"/>
      <c r="E794" s="12"/>
    </row>
    <row r="795">
      <c r="C795" s="11"/>
      <c r="D795" s="11"/>
      <c r="E795" s="12"/>
    </row>
    <row r="796">
      <c r="C796" s="11"/>
      <c r="D796" s="11"/>
      <c r="E796" s="12"/>
    </row>
    <row r="797">
      <c r="C797" s="11"/>
      <c r="D797" s="11"/>
      <c r="E797" s="12"/>
    </row>
    <row r="798">
      <c r="C798" s="11"/>
      <c r="D798" s="11"/>
      <c r="E798" s="12"/>
    </row>
    <row r="799">
      <c r="C799" s="11"/>
      <c r="D799" s="11"/>
      <c r="E799" s="12"/>
    </row>
    <row r="800">
      <c r="C800" s="11"/>
      <c r="D800" s="11"/>
      <c r="E800" s="12"/>
    </row>
    <row r="801">
      <c r="C801" s="11"/>
      <c r="D801" s="11"/>
      <c r="E801" s="12"/>
    </row>
    <row r="802">
      <c r="C802" s="11"/>
      <c r="D802" s="11"/>
      <c r="E802" s="12"/>
    </row>
    <row r="803">
      <c r="C803" s="11"/>
      <c r="D803" s="11"/>
      <c r="E803" s="12"/>
    </row>
    <row r="804">
      <c r="C804" s="11"/>
      <c r="D804" s="11"/>
      <c r="E804" s="12"/>
    </row>
    <row r="805">
      <c r="C805" s="11"/>
      <c r="D805" s="11"/>
      <c r="E805" s="12"/>
    </row>
    <row r="806">
      <c r="C806" s="11"/>
      <c r="D806" s="11"/>
      <c r="E806" s="12"/>
    </row>
    <row r="807">
      <c r="C807" s="11"/>
      <c r="D807" s="11"/>
      <c r="E807" s="12"/>
    </row>
    <row r="808">
      <c r="C808" s="11"/>
      <c r="D808" s="11"/>
      <c r="E808" s="12"/>
    </row>
    <row r="809">
      <c r="C809" s="11"/>
      <c r="D809" s="11"/>
      <c r="E809" s="12"/>
    </row>
    <row r="810">
      <c r="C810" s="11"/>
      <c r="D810" s="11"/>
      <c r="E810" s="12"/>
    </row>
    <row r="811">
      <c r="C811" s="11"/>
      <c r="D811" s="11"/>
      <c r="E811" s="12"/>
    </row>
    <row r="812">
      <c r="C812" s="11"/>
      <c r="D812" s="11"/>
      <c r="E812" s="12"/>
    </row>
    <row r="813">
      <c r="C813" s="11"/>
      <c r="D813" s="11"/>
      <c r="E813" s="12"/>
    </row>
    <row r="814">
      <c r="C814" s="11"/>
      <c r="D814" s="11"/>
      <c r="E814" s="12"/>
    </row>
    <row r="815">
      <c r="C815" s="11"/>
      <c r="D815" s="11"/>
      <c r="E815" s="12"/>
    </row>
    <row r="816">
      <c r="C816" s="11"/>
      <c r="D816" s="11"/>
      <c r="E816" s="12"/>
    </row>
    <row r="817">
      <c r="C817" s="11"/>
      <c r="D817" s="11"/>
      <c r="E817" s="12"/>
    </row>
    <row r="818">
      <c r="C818" s="11"/>
      <c r="D818" s="11"/>
      <c r="E818" s="12"/>
    </row>
    <row r="819">
      <c r="C819" s="11"/>
      <c r="D819" s="11"/>
      <c r="E819" s="12"/>
    </row>
    <row r="820">
      <c r="C820" s="11"/>
      <c r="D820" s="11"/>
      <c r="E820" s="12"/>
    </row>
    <row r="821">
      <c r="C821" s="11"/>
      <c r="D821" s="11"/>
      <c r="E821" s="12"/>
    </row>
    <row r="822">
      <c r="C822" s="11"/>
      <c r="D822" s="11"/>
      <c r="E822" s="12"/>
    </row>
    <row r="823">
      <c r="C823" s="11"/>
      <c r="D823" s="11"/>
      <c r="E823" s="12"/>
    </row>
    <row r="824">
      <c r="C824" s="11"/>
      <c r="D824" s="11"/>
      <c r="E824" s="12"/>
    </row>
    <row r="825">
      <c r="C825" s="11"/>
      <c r="D825" s="11"/>
      <c r="E825" s="12"/>
    </row>
    <row r="826">
      <c r="C826" s="11"/>
      <c r="D826" s="11"/>
      <c r="E826" s="12"/>
    </row>
    <row r="827">
      <c r="C827" s="11"/>
      <c r="D827" s="11"/>
      <c r="E827" s="12"/>
    </row>
    <row r="828">
      <c r="C828" s="11"/>
      <c r="D828" s="11"/>
      <c r="E828" s="12"/>
    </row>
    <row r="829">
      <c r="C829" s="11"/>
      <c r="D829" s="11"/>
      <c r="E829" s="12"/>
    </row>
    <row r="830">
      <c r="C830" s="11"/>
      <c r="D830" s="11"/>
      <c r="E830" s="12"/>
    </row>
    <row r="831">
      <c r="C831" s="11"/>
      <c r="D831" s="11"/>
      <c r="E831" s="12"/>
    </row>
    <row r="832">
      <c r="C832" s="11"/>
      <c r="D832" s="11"/>
      <c r="E832" s="12"/>
    </row>
    <row r="833">
      <c r="C833" s="11"/>
      <c r="D833" s="11"/>
      <c r="E833" s="12"/>
    </row>
    <row r="834">
      <c r="C834" s="11"/>
      <c r="D834" s="11"/>
      <c r="E834" s="12"/>
    </row>
    <row r="835">
      <c r="C835" s="11"/>
      <c r="D835" s="11"/>
      <c r="E835" s="12"/>
    </row>
    <row r="836">
      <c r="C836" s="11"/>
      <c r="D836" s="11"/>
      <c r="E836" s="12"/>
    </row>
    <row r="837">
      <c r="C837" s="11"/>
      <c r="D837" s="11"/>
      <c r="E837" s="12"/>
    </row>
    <row r="838">
      <c r="C838" s="11"/>
      <c r="D838" s="11"/>
      <c r="E838" s="12"/>
    </row>
    <row r="839">
      <c r="C839" s="11"/>
      <c r="D839" s="11"/>
      <c r="E839" s="12"/>
    </row>
    <row r="840">
      <c r="C840" s="11"/>
      <c r="D840" s="11"/>
      <c r="E840" s="12"/>
    </row>
    <row r="841">
      <c r="C841" s="11"/>
      <c r="D841" s="11"/>
      <c r="E841" s="12"/>
    </row>
    <row r="842">
      <c r="C842" s="11"/>
      <c r="D842" s="11"/>
      <c r="E842" s="12"/>
    </row>
    <row r="843">
      <c r="C843" s="11"/>
      <c r="D843" s="11"/>
      <c r="E843" s="12"/>
    </row>
    <row r="844">
      <c r="C844" s="11"/>
      <c r="D844" s="11"/>
      <c r="E844" s="12"/>
    </row>
    <row r="845">
      <c r="C845" s="11"/>
      <c r="D845" s="11"/>
      <c r="E845" s="12"/>
    </row>
    <row r="846">
      <c r="C846" s="11"/>
      <c r="D846" s="11"/>
      <c r="E846" s="12"/>
    </row>
    <row r="847">
      <c r="C847" s="11"/>
      <c r="D847" s="11"/>
      <c r="E847" s="12"/>
    </row>
    <row r="848">
      <c r="C848" s="11"/>
      <c r="D848" s="11"/>
      <c r="E848" s="12"/>
    </row>
    <row r="849">
      <c r="C849" s="11"/>
      <c r="D849" s="11"/>
      <c r="E849" s="12"/>
    </row>
    <row r="850">
      <c r="C850" s="11"/>
      <c r="D850" s="11"/>
      <c r="E850" s="12"/>
    </row>
    <row r="851">
      <c r="C851" s="11"/>
      <c r="D851" s="11"/>
      <c r="E851" s="12"/>
    </row>
    <row r="852">
      <c r="C852" s="11"/>
      <c r="D852" s="11"/>
      <c r="E852" s="12"/>
    </row>
    <row r="853">
      <c r="C853" s="11"/>
      <c r="D853" s="11"/>
      <c r="E853" s="12"/>
    </row>
    <row r="854">
      <c r="C854" s="11"/>
      <c r="D854" s="11"/>
      <c r="E854" s="12"/>
    </row>
    <row r="855">
      <c r="C855" s="11"/>
      <c r="D855" s="11"/>
      <c r="E855" s="12"/>
    </row>
    <row r="856">
      <c r="C856" s="11"/>
      <c r="D856" s="11"/>
      <c r="E856" s="12"/>
    </row>
    <row r="857">
      <c r="C857" s="11"/>
      <c r="D857" s="11"/>
      <c r="E857" s="12"/>
    </row>
    <row r="858">
      <c r="C858" s="11"/>
      <c r="D858" s="11"/>
      <c r="E858" s="12"/>
    </row>
    <row r="859">
      <c r="C859" s="11"/>
      <c r="D859" s="11"/>
      <c r="E859" s="12"/>
    </row>
    <row r="860">
      <c r="C860" s="11"/>
      <c r="D860" s="11"/>
      <c r="E860" s="12"/>
    </row>
    <row r="861">
      <c r="C861" s="11"/>
      <c r="D861" s="11"/>
      <c r="E861" s="12"/>
    </row>
    <row r="862">
      <c r="C862" s="11"/>
      <c r="D862" s="11"/>
      <c r="E862" s="12"/>
    </row>
    <row r="863">
      <c r="C863" s="11"/>
      <c r="D863" s="11"/>
      <c r="E863" s="12"/>
    </row>
    <row r="864">
      <c r="C864" s="11"/>
      <c r="D864" s="11"/>
      <c r="E864" s="12"/>
    </row>
    <row r="865">
      <c r="C865" s="11"/>
      <c r="D865" s="11"/>
      <c r="E865" s="12"/>
    </row>
    <row r="866">
      <c r="C866" s="11"/>
      <c r="D866" s="11"/>
      <c r="E866" s="12"/>
    </row>
    <row r="867">
      <c r="C867" s="11"/>
      <c r="D867" s="11"/>
      <c r="E867" s="12"/>
    </row>
    <row r="868">
      <c r="C868" s="11"/>
      <c r="D868" s="11"/>
      <c r="E868" s="12"/>
    </row>
    <row r="869">
      <c r="C869" s="11"/>
      <c r="D869" s="11"/>
      <c r="E869" s="12"/>
    </row>
    <row r="870">
      <c r="C870" s="11"/>
      <c r="D870" s="11"/>
      <c r="E870" s="12"/>
    </row>
    <row r="871">
      <c r="C871" s="11"/>
      <c r="D871" s="11"/>
      <c r="E871" s="12"/>
    </row>
    <row r="872">
      <c r="C872" s="11"/>
      <c r="D872" s="11"/>
      <c r="E872" s="12"/>
    </row>
    <row r="873">
      <c r="C873" s="11"/>
      <c r="D873" s="11"/>
      <c r="E873" s="12"/>
    </row>
    <row r="874">
      <c r="C874" s="11"/>
      <c r="D874" s="11"/>
      <c r="E874" s="12"/>
    </row>
    <row r="875">
      <c r="C875" s="11"/>
      <c r="D875" s="11"/>
      <c r="E875" s="12"/>
    </row>
    <row r="876">
      <c r="C876" s="11"/>
      <c r="D876" s="11"/>
      <c r="E876" s="12"/>
    </row>
    <row r="877">
      <c r="C877" s="11"/>
      <c r="D877" s="11"/>
      <c r="E877" s="12"/>
    </row>
    <row r="878">
      <c r="C878" s="11"/>
      <c r="D878" s="11"/>
      <c r="E878" s="12"/>
    </row>
    <row r="879">
      <c r="C879" s="11"/>
      <c r="D879" s="11"/>
      <c r="E879" s="12"/>
    </row>
    <row r="880">
      <c r="C880" s="11"/>
      <c r="D880" s="11"/>
      <c r="E880" s="12"/>
    </row>
    <row r="881">
      <c r="C881" s="11"/>
      <c r="D881" s="11"/>
      <c r="E881" s="12"/>
    </row>
    <row r="882">
      <c r="C882" s="11"/>
      <c r="D882" s="11"/>
      <c r="E882" s="12"/>
    </row>
    <row r="883">
      <c r="C883" s="11"/>
      <c r="D883" s="11"/>
      <c r="E883" s="12"/>
    </row>
    <row r="884">
      <c r="C884" s="11"/>
      <c r="D884" s="11"/>
      <c r="E884" s="12"/>
    </row>
    <row r="885">
      <c r="C885" s="11"/>
      <c r="D885" s="11"/>
      <c r="E885" s="12"/>
    </row>
    <row r="886">
      <c r="C886" s="11"/>
      <c r="D886" s="11"/>
      <c r="E886" s="12"/>
    </row>
    <row r="887">
      <c r="C887" s="11"/>
      <c r="D887" s="11"/>
      <c r="E887" s="12"/>
    </row>
    <row r="888">
      <c r="C888" s="11"/>
      <c r="D888" s="11"/>
      <c r="E888" s="12"/>
    </row>
    <row r="889">
      <c r="C889" s="11"/>
      <c r="D889" s="11"/>
      <c r="E889" s="12"/>
    </row>
    <row r="890">
      <c r="C890" s="11"/>
      <c r="D890" s="11"/>
      <c r="E890" s="12"/>
    </row>
    <row r="891">
      <c r="C891" s="11"/>
      <c r="D891" s="11"/>
      <c r="E891" s="12"/>
    </row>
    <row r="892">
      <c r="C892" s="11"/>
      <c r="D892" s="11"/>
      <c r="E892" s="12"/>
    </row>
    <row r="893">
      <c r="C893" s="11"/>
      <c r="D893" s="11"/>
      <c r="E893" s="12"/>
    </row>
    <row r="894">
      <c r="C894" s="11"/>
      <c r="D894" s="11"/>
      <c r="E894" s="12"/>
    </row>
    <row r="895">
      <c r="C895" s="11"/>
      <c r="D895" s="11"/>
      <c r="E895" s="12"/>
    </row>
    <row r="896">
      <c r="C896" s="11"/>
      <c r="D896" s="11"/>
      <c r="E896" s="12"/>
    </row>
    <row r="897">
      <c r="C897" s="11"/>
      <c r="D897" s="11"/>
      <c r="E897" s="12"/>
    </row>
    <row r="898">
      <c r="C898" s="11"/>
      <c r="D898" s="11"/>
      <c r="E898" s="12"/>
    </row>
    <row r="899">
      <c r="C899" s="11"/>
      <c r="D899" s="11"/>
      <c r="E899" s="12"/>
    </row>
    <row r="900">
      <c r="C900" s="11"/>
      <c r="D900" s="11"/>
      <c r="E900" s="12"/>
    </row>
    <row r="901">
      <c r="C901" s="11"/>
      <c r="D901" s="11"/>
      <c r="E901" s="12"/>
    </row>
    <row r="902">
      <c r="C902" s="11"/>
      <c r="D902" s="11"/>
      <c r="E902" s="12"/>
    </row>
    <row r="903">
      <c r="C903" s="11"/>
      <c r="D903" s="11"/>
      <c r="E903" s="12"/>
    </row>
    <row r="904">
      <c r="C904" s="11"/>
      <c r="D904" s="11"/>
      <c r="E904" s="12"/>
    </row>
    <row r="905">
      <c r="C905" s="11"/>
      <c r="D905" s="11"/>
      <c r="E905" s="12"/>
    </row>
    <row r="906">
      <c r="C906" s="11"/>
      <c r="D906" s="11"/>
      <c r="E906" s="12"/>
    </row>
    <row r="907">
      <c r="C907" s="11"/>
      <c r="D907" s="11"/>
      <c r="E907" s="12"/>
    </row>
    <row r="908">
      <c r="C908" s="11"/>
      <c r="D908" s="11"/>
      <c r="E908" s="12"/>
    </row>
    <row r="909">
      <c r="C909" s="11"/>
      <c r="D909" s="11"/>
      <c r="E909" s="12"/>
    </row>
    <row r="910">
      <c r="C910" s="11"/>
      <c r="D910" s="11"/>
      <c r="E910" s="12"/>
    </row>
    <row r="911">
      <c r="C911" s="11"/>
      <c r="D911" s="11"/>
      <c r="E911" s="12"/>
    </row>
    <row r="912">
      <c r="C912" s="11"/>
      <c r="D912" s="11"/>
      <c r="E912" s="12"/>
    </row>
    <row r="913">
      <c r="C913" s="11"/>
      <c r="D913" s="11"/>
      <c r="E913" s="12"/>
    </row>
    <row r="914">
      <c r="C914" s="11"/>
      <c r="D914" s="11"/>
      <c r="E914" s="12"/>
    </row>
    <row r="915">
      <c r="C915" s="11"/>
      <c r="D915" s="11"/>
      <c r="E915" s="12"/>
    </row>
    <row r="916">
      <c r="C916" s="11"/>
      <c r="D916" s="11"/>
      <c r="E916" s="12"/>
    </row>
    <row r="917">
      <c r="C917" s="11"/>
      <c r="D917" s="11"/>
      <c r="E917" s="12"/>
    </row>
    <row r="918">
      <c r="C918" s="11"/>
      <c r="D918" s="11"/>
      <c r="E918" s="12"/>
    </row>
    <row r="919">
      <c r="C919" s="11"/>
      <c r="D919" s="11"/>
      <c r="E919" s="12"/>
    </row>
    <row r="920">
      <c r="C920" s="11"/>
      <c r="D920" s="11"/>
      <c r="E920" s="12"/>
    </row>
    <row r="921">
      <c r="C921" s="11"/>
      <c r="D921" s="11"/>
      <c r="E921" s="12"/>
    </row>
    <row r="922">
      <c r="C922" s="11"/>
      <c r="D922" s="11"/>
      <c r="E922" s="12"/>
    </row>
    <row r="923">
      <c r="C923" s="11"/>
      <c r="D923" s="11"/>
      <c r="E923" s="12"/>
    </row>
    <row r="924">
      <c r="C924" s="11"/>
      <c r="D924" s="11"/>
      <c r="E924" s="12"/>
    </row>
    <row r="925">
      <c r="C925" s="11"/>
      <c r="D925" s="11"/>
      <c r="E925" s="12"/>
    </row>
    <row r="926">
      <c r="C926" s="11"/>
      <c r="D926" s="11"/>
      <c r="E926" s="12"/>
    </row>
    <row r="927">
      <c r="C927" s="11"/>
      <c r="D927" s="11"/>
      <c r="E927" s="12"/>
    </row>
    <row r="928">
      <c r="C928" s="11"/>
      <c r="D928" s="11"/>
      <c r="E928" s="12"/>
    </row>
    <row r="929">
      <c r="C929" s="11"/>
      <c r="D929" s="11"/>
      <c r="E929" s="12"/>
    </row>
    <row r="930">
      <c r="C930" s="11"/>
      <c r="D930" s="11"/>
      <c r="E930" s="12"/>
    </row>
    <row r="931">
      <c r="C931" s="11"/>
      <c r="D931" s="11"/>
      <c r="E931" s="12"/>
    </row>
    <row r="932">
      <c r="C932" s="11"/>
      <c r="D932" s="11"/>
      <c r="E932" s="12"/>
    </row>
    <row r="933">
      <c r="C933" s="11"/>
      <c r="D933" s="11"/>
      <c r="E933" s="12"/>
    </row>
    <row r="934">
      <c r="C934" s="11"/>
      <c r="D934" s="11"/>
      <c r="E934" s="12"/>
    </row>
    <row r="935">
      <c r="C935" s="11"/>
      <c r="D935" s="11"/>
      <c r="E935" s="12"/>
    </row>
    <row r="936">
      <c r="C936" s="11"/>
      <c r="D936" s="11"/>
      <c r="E936" s="12"/>
    </row>
    <row r="937">
      <c r="C937" s="11"/>
      <c r="D937" s="11"/>
      <c r="E937" s="12"/>
    </row>
    <row r="938">
      <c r="C938" s="11"/>
      <c r="D938" s="11"/>
      <c r="E938" s="12"/>
    </row>
    <row r="939">
      <c r="C939" s="11"/>
      <c r="D939" s="11"/>
      <c r="E939" s="12"/>
    </row>
    <row r="940">
      <c r="C940" s="11"/>
      <c r="D940" s="11"/>
      <c r="E940" s="12"/>
    </row>
    <row r="941">
      <c r="C941" s="11"/>
      <c r="D941" s="11"/>
      <c r="E941" s="12"/>
    </row>
    <row r="942">
      <c r="C942" s="11"/>
      <c r="D942" s="11"/>
      <c r="E942" s="12"/>
    </row>
    <row r="943">
      <c r="C943" s="11"/>
      <c r="D943" s="11"/>
      <c r="E943" s="12"/>
    </row>
    <row r="944">
      <c r="C944" s="11"/>
      <c r="D944" s="11"/>
      <c r="E944" s="12"/>
    </row>
    <row r="945">
      <c r="C945" s="11"/>
      <c r="D945" s="11"/>
      <c r="E945" s="12"/>
    </row>
    <row r="946">
      <c r="C946" s="11"/>
      <c r="D946" s="11"/>
      <c r="E946" s="12"/>
    </row>
    <row r="947">
      <c r="C947" s="11"/>
      <c r="D947" s="11"/>
      <c r="E947" s="12"/>
    </row>
    <row r="948">
      <c r="C948" s="11"/>
      <c r="D948" s="11"/>
      <c r="E948" s="12"/>
    </row>
    <row r="949">
      <c r="C949" s="11"/>
      <c r="D949" s="11"/>
      <c r="E949" s="12"/>
    </row>
    <row r="950">
      <c r="C950" s="11"/>
      <c r="D950" s="11"/>
      <c r="E950" s="12"/>
    </row>
    <row r="951">
      <c r="C951" s="11"/>
      <c r="D951" s="11"/>
      <c r="E951" s="12"/>
    </row>
    <row r="952">
      <c r="C952" s="11"/>
      <c r="D952" s="11"/>
      <c r="E952" s="12"/>
    </row>
    <row r="953">
      <c r="C953" s="11"/>
      <c r="D953" s="11"/>
      <c r="E953" s="12"/>
    </row>
    <row r="954">
      <c r="C954" s="11"/>
      <c r="D954" s="11"/>
      <c r="E954" s="12"/>
    </row>
    <row r="955">
      <c r="C955" s="11"/>
      <c r="D955" s="11"/>
      <c r="E955" s="12"/>
    </row>
    <row r="956">
      <c r="C956" s="11"/>
      <c r="D956" s="11"/>
      <c r="E956" s="12"/>
    </row>
    <row r="957">
      <c r="C957" s="11"/>
      <c r="D957" s="11"/>
      <c r="E957" s="12"/>
    </row>
    <row r="958">
      <c r="C958" s="11"/>
      <c r="D958" s="11"/>
      <c r="E958" s="12"/>
    </row>
    <row r="959">
      <c r="C959" s="11"/>
      <c r="D959" s="11"/>
      <c r="E959" s="12"/>
    </row>
    <row r="960">
      <c r="C960" s="11"/>
      <c r="D960" s="11"/>
      <c r="E960" s="12"/>
    </row>
    <row r="961">
      <c r="C961" s="11"/>
      <c r="D961" s="11"/>
      <c r="E961" s="12"/>
    </row>
    <row r="962">
      <c r="C962" s="11"/>
      <c r="D962" s="11"/>
      <c r="E962" s="12"/>
    </row>
    <row r="963">
      <c r="C963" s="11"/>
      <c r="D963" s="11"/>
      <c r="E963" s="12"/>
    </row>
    <row r="964">
      <c r="C964" s="11"/>
      <c r="D964" s="11"/>
      <c r="E964" s="12"/>
    </row>
    <row r="965">
      <c r="C965" s="11"/>
      <c r="D965" s="11"/>
      <c r="E965" s="12"/>
    </row>
    <row r="966">
      <c r="C966" s="11"/>
      <c r="D966" s="11"/>
      <c r="E966" s="12"/>
    </row>
    <row r="967">
      <c r="C967" s="11"/>
      <c r="D967" s="11"/>
      <c r="E967" s="12"/>
    </row>
    <row r="968">
      <c r="C968" s="11"/>
      <c r="D968" s="11"/>
      <c r="E968" s="12"/>
    </row>
    <row r="969">
      <c r="C969" s="11"/>
      <c r="D969" s="11"/>
      <c r="E969" s="12"/>
    </row>
    <row r="970">
      <c r="C970" s="11"/>
      <c r="D970" s="11"/>
      <c r="E970" s="12"/>
    </row>
    <row r="971">
      <c r="C971" s="11"/>
      <c r="D971" s="11"/>
      <c r="E971" s="12"/>
    </row>
    <row r="972">
      <c r="C972" s="11"/>
      <c r="D972" s="11"/>
      <c r="E972" s="12"/>
    </row>
    <row r="973">
      <c r="C973" s="11"/>
      <c r="D973" s="11"/>
      <c r="E973" s="12"/>
    </row>
    <row r="974">
      <c r="C974" s="11"/>
      <c r="D974" s="11"/>
      <c r="E974" s="12"/>
    </row>
    <row r="975">
      <c r="C975" s="11"/>
      <c r="D975" s="11"/>
      <c r="E975" s="12"/>
    </row>
    <row r="976">
      <c r="C976" s="11"/>
      <c r="D976" s="11"/>
      <c r="E976" s="12"/>
    </row>
    <row r="977">
      <c r="C977" s="11"/>
      <c r="D977" s="11"/>
      <c r="E977" s="12"/>
    </row>
    <row r="978">
      <c r="C978" s="11"/>
      <c r="D978" s="11"/>
      <c r="E978" s="12"/>
    </row>
    <row r="979">
      <c r="C979" s="11"/>
      <c r="D979" s="11"/>
      <c r="E979" s="12"/>
    </row>
    <row r="980">
      <c r="C980" s="11"/>
      <c r="D980" s="11"/>
      <c r="E980" s="12"/>
    </row>
    <row r="981">
      <c r="C981" s="11"/>
      <c r="D981" s="11"/>
      <c r="E981" s="12"/>
    </row>
    <row r="982">
      <c r="C982" s="11"/>
      <c r="D982" s="11"/>
      <c r="E982" s="12"/>
    </row>
    <row r="983">
      <c r="C983" s="11"/>
      <c r="D983" s="11"/>
      <c r="E983" s="12"/>
    </row>
    <row r="984">
      <c r="C984" s="11"/>
      <c r="D984" s="11"/>
      <c r="E984" s="12"/>
    </row>
    <row r="985">
      <c r="C985" s="11"/>
      <c r="D985" s="11"/>
      <c r="E985" s="12"/>
    </row>
    <row r="986">
      <c r="C986" s="11"/>
      <c r="D986" s="11"/>
      <c r="E986" s="12"/>
    </row>
    <row r="987">
      <c r="C987" s="11"/>
      <c r="D987" s="11"/>
      <c r="E987" s="12"/>
    </row>
    <row r="988">
      <c r="C988" s="11"/>
      <c r="D988" s="11"/>
      <c r="E988" s="12"/>
    </row>
    <row r="989">
      <c r="C989" s="11"/>
      <c r="D989" s="11"/>
      <c r="E989" s="12"/>
    </row>
    <row r="990">
      <c r="C990" s="11"/>
      <c r="D990" s="11"/>
      <c r="E990" s="12"/>
    </row>
    <row r="991">
      <c r="C991" s="11"/>
      <c r="D991" s="11"/>
      <c r="E991" s="12"/>
    </row>
    <row r="992">
      <c r="C992" s="11"/>
      <c r="D992" s="11"/>
      <c r="E992" s="12"/>
    </row>
    <row r="993">
      <c r="C993" s="11"/>
      <c r="D993" s="11"/>
      <c r="E993" s="12"/>
    </row>
    <row r="994">
      <c r="C994" s="11"/>
      <c r="D994" s="11"/>
      <c r="E994" s="12"/>
    </row>
    <row r="995">
      <c r="C995" s="11"/>
      <c r="D995" s="11"/>
      <c r="E995" s="12"/>
    </row>
    <row r="996">
      <c r="C996" s="11"/>
      <c r="D996" s="11"/>
      <c r="E996" s="12"/>
    </row>
    <row r="997">
      <c r="C997" s="11"/>
      <c r="D997" s="11"/>
      <c r="E997" s="12"/>
    </row>
    <row r="998">
      <c r="C998" s="11"/>
      <c r="D998" s="11"/>
      <c r="E998" s="12"/>
    </row>
    <row r="999">
      <c r="C999" s="11"/>
      <c r="D999" s="11"/>
      <c r="E999" s="12"/>
    </row>
    <row r="1000">
      <c r="C1000" s="11"/>
      <c r="D1000" s="11"/>
      <c r="E1000" s="12"/>
    </row>
    <row r="1001">
      <c r="C1001" s="11"/>
      <c r="D1001" s="11"/>
      <c r="E1001" s="12"/>
    </row>
    <row r="1002">
      <c r="C1002" s="11"/>
      <c r="D1002" s="11"/>
      <c r="E1002" s="12"/>
    </row>
    <row r="1003">
      <c r="C1003" s="11"/>
      <c r="D1003" s="11"/>
      <c r="E1003" s="12"/>
    </row>
    <row r="1004">
      <c r="C1004" s="11"/>
      <c r="D1004" s="11"/>
      <c r="E1004" s="12"/>
    </row>
    <row r="1005">
      <c r="C1005" s="11"/>
      <c r="D1005" s="11"/>
      <c r="E1005" s="12"/>
    </row>
    <row r="1006">
      <c r="C1006" s="11"/>
      <c r="D1006" s="11"/>
      <c r="E1006" s="12"/>
    </row>
    <row r="1007">
      <c r="C1007" s="11"/>
      <c r="D1007" s="11"/>
      <c r="E1007" s="12"/>
    </row>
    <row r="1008">
      <c r="C1008" s="11"/>
      <c r="D1008" s="11"/>
      <c r="E1008" s="12"/>
    </row>
    <row r="1009">
      <c r="C1009" s="11"/>
      <c r="D1009" s="11"/>
      <c r="E1009" s="12"/>
    </row>
    <row r="1010">
      <c r="C1010" s="11"/>
      <c r="D1010" s="11"/>
      <c r="E1010" s="12"/>
    </row>
    <row r="1011">
      <c r="C1011" s="11"/>
      <c r="D1011" s="11"/>
      <c r="E1011" s="12"/>
    </row>
    <row r="1012">
      <c r="C1012" s="11"/>
      <c r="D1012" s="11"/>
      <c r="E1012" s="12"/>
    </row>
    <row r="1013">
      <c r="C1013" s="11"/>
      <c r="D1013" s="11"/>
      <c r="E1013" s="12"/>
    </row>
    <row r="1014">
      <c r="C1014" s="11"/>
      <c r="D1014" s="11"/>
      <c r="E1014" s="1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7.0"/>
    <col customWidth="1" min="3" max="3" width="40.38"/>
  </cols>
  <sheetData>
    <row r="1">
      <c r="A1" s="16" t="s">
        <v>128</v>
      </c>
      <c r="B1" s="17" t="s">
        <v>129</v>
      </c>
      <c r="C1" s="18" t="s">
        <v>2</v>
      </c>
    </row>
    <row r="2">
      <c r="A2" s="4" t="s">
        <v>130</v>
      </c>
      <c r="B2" s="10" t="s">
        <v>208</v>
      </c>
      <c r="C2" s="4" t="s">
        <v>209</v>
      </c>
    </row>
    <row r="3">
      <c r="A3" s="4" t="s">
        <v>130</v>
      </c>
      <c r="B3" s="10" t="s">
        <v>210</v>
      </c>
      <c r="C3" s="4" t="s">
        <v>209</v>
      </c>
    </row>
    <row r="4">
      <c r="A4" s="4" t="s">
        <v>130</v>
      </c>
      <c r="B4" s="10" t="s">
        <v>211</v>
      </c>
      <c r="C4" s="4" t="s">
        <v>212</v>
      </c>
    </row>
    <row r="5">
      <c r="A5" s="4" t="s">
        <v>188</v>
      </c>
      <c r="B5" s="10" t="s">
        <v>213</v>
      </c>
      <c r="C5" s="4" t="s">
        <v>53</v>
      </c>
    </row>
    <row r="6">
      <c r="A6" s="4" t="s">
        <v>188</v>
      </c>
      <c r="B6" s="10" t="s">
        <v>214</v>
      </c>
      <c r="C6" s="4" t="s">
        <v>53</v>
      </c>
    </row>
    <row r="7">
      <c r="A7" s="4" t="s">
        <v>130</v>
      </c>
      <c r="B7" s="10" t="s">
        <v>215</v>
      </c>
      <c r="C7" s="4" t="s">
        <v>50</v>
      </c>
    </row>
    <row r="8">
      <c r="A8" s="4" t="s">
        <v>188</v>
      </c>
      <c r="B8" s="10" t="s">
        <v>216</v>
      </c>
      <c r="C8" s="4" t="s">
        <v>50</v>
      </c>
    </row>
    <row r="9">
      <c r="A9" s="4" t="s">
        <v>134</v>
      </c>
      <c r="B9" s="10" t="s">
        <v>217</v>
      </c>
      <c r="C9" s="4" t="s">
        <v>54</v>
      </c>
    </row>
    <row r="10">
      <c r="A10" s="4" t="s">
        <v>130</v>
      </c>
      <c r="B10" s="10" t="s">
        <v>218</v>
      </c>
      <c r="C10" s="4" t="s">
        <v>60</v>
      </c>
    </row>
    <row r="11">
      <c r="A11" s="4" t="s">
        <v>134</v>
      </c>
      <c r="B11" s="10" t="s">
        <v>219</v>
      </c>
      <c r="C11" s="4" t="s">
        <v>60</v>
      </c>
    </row>
    <row r="12">
      <c r="A12" s="4" t="s">
        <v>130</v>
      </c>
      <c r="B12" s="10" t="s">
        <v>220</v>
      </c>
      <c r="C12" s="4" t="s">
        <v>60</v>
      </c>
    </row>
    <row r="13">
      <c r="A13" s="4" t="s">
        <v>134</v>
      </c>
      <c r="B13" s="10" t="s">
        <v>221</v>
      </c>
      <c r="C13" s="19" t="s">
        <v>222</v>
      </c>
    </row>
    <row r="14">
      <c r="A14" s="4" t="s">
        <v>158</v>
      </c>
      <c r="B14" s="10" t="s">
        <v>223</v>
      </c>
      <c r="C14" s="19" t="s">
        <v>222</v>
      </c>
    </row>
    <row r="16">
      <c r="A16" s="17" t="s">
        <v>224</v>
      </c>
      <c r="B16" s="20"/>
      <c r="C16" s="20"/>
    </row>
    <row r="17">
      <c r="A17" s="17" t="s">
        <v>128</v>
      </c>
      <c r="B17" s="17" t="s">
        <v>182</v>
      </c>
      <c r="C17" s="17" t="s">
        <v>185</v>
      </c>
    </row>
    <row r="18">
      <c r="A18" s="6" t="s">
        <v>130</v>
      </c>
      <c r="B18" s="4" t="s">
        <v>209</v>
      </c>
      <c r="C18" s="10" t="s">
        <v>208</v>
      </c>
    </row>
    <row r="19">
      <c r="A19" s="20"/>
      <c r="C19" s="10" t="s">
        <v>210</v>
      </c>
    </row>
    <row r="20">
      <c r="A20" s="6" t="s">
        <v>130</v>
      </c>
      <c r="B20" s="4" t="s">
        <v>46</v>
      </c>
      <c r="C20" s="10" t="s">
        <v>211</v>
      </c>
    </row>
    <row r="21">
      <c r="A21" s="6" t="s">
        <v>188</v>
      </c>
      <c r="B21" s="4" t="s">
        <v>53</v>
      </c>
      <c r="C21" s="10" t="s">
        <v>213</v>
      </c>
    </row>
    <row r="22">
      <c r="A22" s="20"/>
      <c r="C22" s="10" t="s">
        <v>214</v>
      </c>
    </row>
    <row r="23">
      <c r="A23" s="6" t="s">
        <v>188</v>
      </c>
      <c r="B23" s="4" t="s">
        <v>50</v>
      </c>
      <c r="C23" s="10" t="s">
        <v>215</v>
      </c>
    </row>
    <row r="24">
      <c r="A24" s="6" t="s">
        <v>134</v>
      </c>
      <c r="B24" s="4" t="s">
        <v>54</v>
      </c>
      <c r="C24" s="10" t="s">
        <v>217</v>
      </c>
    </row>
    <row r="25">
      <c r="A25" s="6" t="s">
        <v>130</v>
      </c>
      <c r="B25" s="4" t="s">
        <v>60</v>
      </c>
      <c r="C25" s="10" t="s">
        <v>218</v>
      </c>
    </row>
    <row r="26">
      <c r="C26" s="10" t="s">
        <v>219</v>
      </c>
    </row>
    <row r="27">
      <c r="C27" s="10" t="s">
        <v>220</v>
      </c>
    </row>
    <row r="28">
      <c r="A28" s="6" t="s">
        <v>134</v>
      </c>
      <c r="B28" s="19" t="s">
        <v>222</v>
      </c>
      <c r="C28" s="10" t="s">
        <v>221</v>
      </c>
    </row>
    <row r="29">
      <c r="C29" s="10" t="s">
        <v>223</v>
      </c>
    </row>
  </sheetData>
  <hyperlinks>
    <hyperlink r:id="rId1" ref="C13"/>
    <hyperlink r:id="rId2" ref="C14"/>
    <hyperlink r:id="rId3" ref="B28"/>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2" max="2" width="15.0"/>
  </cols>
  <sheetData>
    <row r="1">
      <c r="A1" s="1" t="s">
        <v>0</v>
      </c>
      <c r="B1" s="1" t="s">
        <v>1</v>
      </c>
      <c r="C1" s="1" t="s">
        <v>2</v>
      </c>
      <c r="E1" s="5"/>
      <c r="F1" s="5"/>
      <c r="G1" s="5"/>
    </row>
    <row r="2">
      <c r="A2" s="6" t="s">
        <v>225</v>
      </c>
      <c r="B2" s="4" t="s">
        <v>226</v>
      </c>
      <c r="C2" s="4" t="s">
        <v>227</v>
      </c>
    </row>
    <row r="3">
      <c r="A3" s="6" t="s">
        <v>228</v>
      </c>
      <c r="B3" s="4" t="s">
        <v>229</v>
      </c>
      <c r="C3" s="4" t="s">
        <v>230</v>
      </c>
    </row>
    <row r="4">
      <c r="A4" s="6" t="s">
        <v>231</v>
      </c>
      <c r="B4" s="4" t="s">
        <v>232</v>
      </c>
      <c r="C4" s="4" t="s">
        <v>150</v>
      </c>
    </row>
    <row r="5">
      <c r="A5" s="6" t="s">
        <v>233</v>
      </c>
      <c r="B5" s="4" t="s">
        <v>234</v>
      </c>
      <c r="C5" s="4" t="s">
        <v>45</v>
      </c>
    </row>
    <row r="6">
      <c r="A6" s="6" t="s">
        <v>235</v>
      </c>
      <c r="B6" s="4" t="s">
        <v>236</v>
      </c>
      <c r="C6" s="4" t="s">
        <v>45</v>
      </c>
    </row>
    <row r="7">
      <c r="A7" s="6" t="s">
        <v>237</v>
      </c>
      <c r="B7" s="4" t="s">
        <v>238</v>
      </c>
      <c r="C7" s="4" t="s">
        <v>45</v>
      </c>
    </row>
    <row r="8">
      <c r="A8" s="6" t="s">
        <v>239</v>
      </c>
      <c r="B8" s="4" t="s">
        <v>240</v>
      </c>
      <c r="C8" s="4" t="s">
        <v>37</v>
      </c>
    </row>
    <row r="9">
      <c r="A9" s="6" t="s">
        <v>241</v>
      </c>
      <c r="B9" s="4" t="s">
        <v>242</v>
      </c>
      <c r="C9" s="4" t="s">
        <v>49</v>
      </c>
    </row>
    <row r="10">
      <c r="A10" s="6" t="s">
        <v>241</v>
      </c>
      <c r="B10" s="4" t="s">
        <v>242</v>
      </c>
      <c r="C10" s="4" t="s">
        <v>49</v>
      </c>
    </row>
    <row r="11">
      <c r="A11" s="6" t="s">
        <v>243</v>
      </c>
      <c r="B11" s="4" t="s">
        <v>244</v>
      </c>
      <c r="C11" s="4" t="s">
        <v>49</v>
      </c>
    </row>
    <row r="12">
      <c r="A12" s="6" t="s">
        <v>245</v>
      </c>
      <c r="B12" s="4" t="s">
        <v>246</v>
      </c>
      <c r="C12" s="4" t="s">
        <v>49</v>
      </c>
    </row>
    <row r="13">
      <c r="A13" s="6" t="s">
        <v>247</v>
      </c>
      <c r="B13" s="4" t="s">
        <v>248</v>
      </c>
      <c r="C13" s="4" t="s">
        <v>49</v>
      </c>
    </row>
    <row r="14">
      <c r="A14" s="6" t="s">
        <v>249</v>
      </c>
      <c r="B14" s="4" t="s">
        <v>250</v>
      </c>
      <c r="C14" s="4" t="s">
        <v>49</v>
      </c>
    </row>
    <row r="15">
      <c r="A15" s="6" t="s">
        <v>251</v>
      </c>
      <c r="B15" s="4" t="s">
        <v>252</v>
      </c>
      <c r="C15" s="4" t="s">
        <v>49</v>
      </c>
    </row>
    <row r="16">
      <c r="A16" s="6" t="s">
        <v>253</v>
      </c>
      <c r="B16" s="4" t="s">
        <v>254</v>
      </c>
      <c r="C16" s="4" t="s">
        <v>41</v>
      </c>
    </row>
    <row r="17">
      <c r="A17" s="6" t="s">
        <v>255</v>
      </c>
      <c r="B17" s="4" t="s">
        <v>256</v>
      </c>
      <c r="C17" s="4" t="s">
        <v>34</v>
      </c>
    </row>
    <row r="18">
      <c r="A18" s="6" t="s">
        <v>257</v>
      </c>
      <c r="B18" s="4" t="s">
        <v>257</v>
      </c>
      <c r="C18" s="4" t="s">
        <v>34</v>
      </c>
    </row>
    <row r="19">
      <c r="A19" s="6" t="s">
        <v>258</v>
      </c>
      <c r="B19" s="4" t="s">
        <v>259</v>
      </c>
      <c r="C19" s="4" t="s">
        <v>21</v>
      </c>
    </row>
    <row r="20">
      <c r="A20" s="6" t="s">
        <v>260</v>
      </c>
      <c r="B20" s="4" t="s">
        <v>261</v>
      </c>
      <c r="C20" s="4" t="s">
        <v>24</v>
      </c>
    </row>
    <row r="21">
      <c r="A21" s="6" t="s">
        <v>262</v>
      </c>
      <c r="B21" s="4" t="s">
        <v>263</v>
      </c>
      <c r="C21" s="4" t="s">
        <v>24</v>
      </c>
    </row>
    <row r="22">
      <c r="A22" s="6" t="s">
        <v>264</v>
      </c>
      <c r="B22" s="4" t="s">
        <v>265</v>
      </c>
      <c r="C22" s="4" t="s">
        <v>24</v>
      </c>
    </row>
    <row r="23">
      <c r="A23" s="6" t="s">
        <v>266</v>
      </c>
      <c r="B23" s="4" t="s">
        <v>267</v>
      </c>
      <c r="C23" s="4" t="s">
        <v>24</v>
      </c>
    </row>
    <row r="24">
      <c r="A24" s="6" t="s">
        <v>268</v>
      </c>
      <c r="B24" s="4" t="s">
        <v>269</v>
      </c>
      <c r="C24" s="4" t="s">
        <v>24</v>
      </c>
    </row>
    <row r="25">
      <c r="A25" s="6" t="s">
        <v>270</v>
      </c>
      <c r="B25" s="4" t="s">
        <v>139</v>
      </c>
      <c r="C25" s="4" t="s">
        <v>57</v>
      </c>
    </row>
    <row r="26">
      <c r="A26" s="6" t="s">
        <v>271</v>
      </c>
      <c r="B26" s="4" t="s">
        <v>272</v>
      </c>
      <c r="C26" s="4" t="s">
        <v>175</v>
      </c>
    </row>
    <row r="27">
      <c r="A27" s="6" t="s">
        <v>273</v>
      </c>
      <c r="B27" s="4" t="s">
        <v>274</v>
      </c>
      <c r="C27" s="4" t="s">
        <v>175</v>
      </c>
    </row>
    <row r="28">
      <c r="A28" s="6" t="s">
        <v>275</v>
      </c>
      <c r="B28" s="4" t="s">
        <v>276</v>
      </c>
      <c r="C28" s="4" t="s">
        <v>175</v>
      </c>
    </row>
    <row r="29">
      <c r="A29" s="6" t="s">
        <v>253</v>
      </c>
      <c r="B29" s="4" t="s">
        <v>277</v>
      </c>
      <c r="C29" s="4" t="s">
        <v>175</v>
      </c>
    </row>
    <row r="30">
      <c r="A30" s="6" t="s">
        <v>278</v>
      </c>
      <c r="B30" s="4" t="s">
        <v>279</v>
      </c>
      <c r="C30" s="4" t="s">
        <v>175</v>
      </c>
    </row>
    <row r="31">
      <c r="A31" s="6" t="s">
        <v>280</v>
      </c>
      <c r="B31" s="4" t="s">
        <v>281</v>
      </c>
      <c r="C31" s="4" t="s">
        <v>5</v>
      </c>
    </row>
    <row r="32">
      <c r="A32" s="6" t="s">
        <v>282</v>
      </c>
      <c r="B32" s="4" t="s">
        <v>283</v>
      </c>
      <c r="C32" s="4" t="s">
        <v>5</v>
      </c>
    </row>
    <row r="33">
      <c r="A33" s="6" t="s">
        <v>8</v>
      </c>
      <c r="B33" s="4" t="s">
        <v>284</v>
      </c>
      <c r="C33" s="4" t="s">
        <v>5</v>
      </c>
    </row>
    <row r="34">
      <c r="A34" s="6" t="s">
        <v>8</v>
      </c>
      <c r="B34" s="4" t="s">
        <v>285</v>
      </c>
      <c r="C34" s="4" t="s">
        <v>5</v>
      </c>
    </row>
    <row r="35">
      <c r="A35" s="6" t="s">
        <v>257</v>
      </c>
      <c r="B35" s="4" t="s">
        <v>286</v>
      </c>
      <c r="C35" s="4" t="s">
        <v>173</v>
      </c>
    </row>
    <row r="36">
      <c r="A36" s="6" t="s">
        <v>287</v>
      </c>
      <c r="B36" s="4" t="s">
        <v>288</v>
      </c>
      <c r="C36" s="4" t="s">
        <v>173</v>
      </c>
    </row>
    <row r="37">
      <c r="A37" s="6" t="s">
        <v>289</v>
      </c>
      <c r="B37" s="4" t="s">
        <v>290</v>
      </c>
      <c r="C37" s="4" t="s">
        <v>173</v>
      </c>
    </row>
    <row r="38">
      <c r="A38" s="20"/>
    </row>
    <row r="39">
      <c r="A39" s="21" t="s">
        <v>291</v>
      </c>
      <c r="B39" s="21" t="s">
        <v>1</v>
      </c>
      <c r="C39" s="21" t="s">
        <v>2</v>
      </c>
    </row>
    <row r="40">
      <c r="A40" s="6" t="s">
        <v>292</v>
      </c>
      <c r="B40" s="4" t="s">
        <v>293</v>
      </c>
      <c r="C40" s="4" t="s">
        <v>230</v>
      </c>
    </row>
    <row r="41">
      <c r="A41" s="20"/>
      <c r="B41" s="4" t="s">
        <v>294</v>
      </c>
      <c r="C41" s="4" t="s">
        <v>45</v>
      </c>
    </row>
    <row r="42">
      <c r="A42" s="20"/>
      <c r="B42" s="4" t="s">
        <v>295</v>
      </c>
      <c r="C42" s="4" t="s">
        <v>45</v>
      </c>
    </row>
    <row r="43">
      <c r="A43" s="20"/>
      <c r="B43" s="4" t="s">
        <v>296</v>
      </c>
      <c r="C43" s="4" t="s">
        <v>45</v>
      </c>
    </row>
    <row r="44">
      <c r="A44" s="20"/>
      <c r="B44" s="4" t="s">
        <v>297</v>
      </c>
      <c r="C44" s="4" t="s">
        <v>37</v>
      </c>
    </row>
    <row r="45">
      <c r="A45" s="20"/>
      <c r="B45" s="4" t="s">
        <v>298</v>
      </c>
      <c r="C45" s="4" t="s">
        <v>49</v>
      </c>
    </row>
    <row r="46">
      <c r="A46" s="20"/>
      <c r="B46" s="4" t="s">
        <v>299</v>
      </c>
      <c r="C46" s="4" t="s">
        <v>49</v>
      </c>
    </row>
    <row r="47">
      <c r="A47" s="20"/>
      <c r="B47" s="4" t="s">
        <v>300</v>
      </c>
      <c r="C47" s="4" t="s">
        <v>49</v>
      </c>
    </row>
    <row r="48">
      <c r="A48" s="20"/>
      <c r="B48" s="4" t="s">
        <v>102</v>
      </c>
      <c r="C48" s="4" t="s">
        <v>41</v>
      </c>
    </row>
    <row r="49">
      <c r="A49" s="20"/>
      <c r="B49" s="4" t="s">
        <v>301</v>
      </c>
      <c r="C49" s="4" t="s">
        <v>34</v>
      </c>
    </row>
    <row r="50">
      <c r="A50" s="20"/>
      <c r="B50" s="4" t="s">
        <v>302</v>
      </c>
      <c r="C50" s="4" t="s">
        <v>21</v>
      </c>
    </row>
    <row r="51">
      <c r="A51" s="20"/>
      <c r="B51" s="4" t="s">
        <v>100</v>
      </c>
      <c r="C51" s="4" t="s">
        <v>175</v>
      </c>
    </row>
    <row r="52">
      <c r="A52" s="20"/>
      <c r="B52" s="4" t="s">
        <v>303</v>
      </c>
      <c r="C52" s="4" t="s">
        <v>175</v>
      </c>
    </row>
    <row r="53">
      <c r="A53" s="20"/>
      <c r="B53" s="4" t="s">
        <v>304</v>
      </c>
      <c r="C53" s="4" t="s">
        <v>173</v>
      </c>
    </row>
    <row r="54">
      <c r="A54" s="20"/>
      <c r="B54" s="4" t="s">
        <v>305</v>
      </c>
      <c r="C54" s="4" t="s">
        <v>173</v>
      </c>
    </row>
    <row r="55">
      <c r="A55" s="6" t="s">
        <v>306</v>
      </c>
      <c r="B55" s="4" t="s">
        <v>294</v>
      </c>
      <c r="C55" s="4" t="s">
        <v>45</v>
      </c>
    </row>
    <row r="56">
      <c r="A56" s="20"/>
      <c r="B56" s="4" t="s">
        <v>307</v>
      </c>
      <c r="C56" s="4" t="s">
        <v>24</v>
      </c>
    </row>
    <row r="57">
      <c r="A57" s="20"/>
      <c r="B57" s="4" t="s">
        <v>308</v>
      </c>
      <c r="C57" s="4" t="s">
        <v>24</v>
      </c>
    </row>
    <row r="58">
      <c r="A58" s="20"/>
      <c r="B58" s="4" t="s">
        <v>309</v>
      </c>
      <c r="C58" s="4" t="s">
        <v>24</v>
      </c>
    </row>
    <row r="59">
      <c r="A59" s="20"/>
      <c r="B59" s="4" t="s">
        <v>299</v>
      </c>
      <c r="C59" s="4" t="s">
        <v>49</v>
      </c>
    </row>
    <row r="60">
      <c r="A60" s="6" t="s">
        <v>310</v>
      </c>
      <c r="B60" s="4" t="s">
        <v>311</v>
      </c>
      <c r="C60" s="4" t="s">
        <v>227</v>
      </c>
    </row>
    <row r="61">
      <c r="A61" s="20"/>
      <c r="B61" s="4" t="s">
        <v>312</v>
      </c>
      <c r="C61" s="4" t="s">
        <v>227</v>
      </c>
    </row>
    <row r="62">
      <c r="A62" s="20"/>
      <c r="B62" s="4" t="s">
        <v>111</v>
      </c>
      <c r="C62" s="4" t="s">
        <v>34</v>
      </c>
    </row>
    <row r="63">
      <c r="A63" s="20"/>
      <c r="B63" s="4" t="s">
        <v>313</v>
      </c>
      <c r="C63" s="4" t="s">
        <v>45</v>
      </c>
    </row>
    <row r="64">
      <c r="A64" s="20"/>
      <c r="B64" s="4" t="s">
        <v>314</v>
      </c>
      <c r="C64" s="4" t="s">
        <v>37</v>
      </c>
    </row>
    <row r="65">
      <c r="A65" s="6" t="s">
        <v>315</v>
      </c>
      <c r="B65" s="4" t="s">
        <v>93</v>
      </c>
      <c r="C65" s="4" t="s">
        <v>5</v>
      </c>
    </row>
    <row r="66">
      <c r="A66" s="20"/>
      <c r="B66" s="4" t="s">
        <v>94</v>
      </c>
      <c r="C66" s="4" t="s">
        <v>5</v>
      </c>
    </row>
    <row r="67">
      <c r="A67" s="20"/>
      <c r="B67" s="4" t="s">
        <v>316</v>
      </c>
      <c r="C67" s="4" t="s">
        <v>175</v>
      </c>
    </row>
    <row r="68">
      <c r="A68" s="20"/>
      <c r="B68" s="4" t="s">
        <v>317</v>
      </c>
      <c r="C68" s="4" t="s">
        <v>173</v>
      </c>
    </row>
    <row r="69">
      <c r="A69" s="20"/>
      <c r="B69" s="4" t="s">
        <v>318</v>
      </c>
      <c r="C69" s="4" t="s">
        <v>173</v>
      </c>
    </row>
    <row r="70">
      <c r="A70" s="6" t="s">
        <v>319</v>
      </c>
      <c r="B70" s="4" t="s">
        <v>320</v>
      </c>
      <c r="C70" s="4" t="s">
        <v>49</v>
      </c>
    </row>
    <row r="71">
      <c r="A71" s="20"/>
      <c r="B71" s="4" t="s">
        <v>321</v>
      </c>
      <c r="C71" s="4" t="s">
        <v>49</v>
      </c>
    </row>
    <row r="72">
      <c r="A72" s="20"/>
      <c r="B72" s="4" t="s">
        <v>322</v>
      </c>
      <c r="C72" s="4" t="s">
        <v>24</v>
      </c>
    </row>
    <row r="73">
      <c r="A73" s="20"/>
      <c r="B73" s="4" t="s">
        <v>323</v>
      </c>
      <c r="C73" s="4" t="s">
        <v>5</v>
      </c>
    </row>
    <row r="74">
      <c r="A74" s="6" t="s">
        <v>324</v>
      </c>
      <c r="B74" s="4" t="s">
        <v>325</v>
      </c>
      <c r="C74" s="4" t="s">
        <v>230</v>
      </c>
    </row>
    <row r="75">
      <c r="A75" s="20"/>
      <c r="B75" s="4" t="s">
        <v>326</v>
      </c>
      <c r="C75" s="4" t="s">
        <v>49</v>
      </c>
    </row>
    <row r="76">
      <c r="A76" s="20"/>
      <c r="B76" s="4" t="s">
        <v>107</v>
      </c>
      <c r="C76" s="4" t="s">
        <v>24</v>
      </c>
    </row>
    <row r="77">
      <c r="A77" s="20"/>
      <c r="B77" s="4" t="s">
        <v>105</v>
      </c>
      <c r="C77" s="4" t="s">
        <v>5</v>
      </c>
    </row>
    <row r="78">
      <c r="A78" s="20"/>
      <c r="B78" s="4" t="s">
        <v>106</v>
      </c>
      <c r="C78" s="4" t="s">
        <v>175</v>
      </c>
    </row>
    <row r="79">
      <c r="A79" s="6" t="s">
        <v>327</v>
      </c>
      <c r="B79" s="4" t="s">
        <v>328</v>
      </c>
      <c r="C79" s="4" t="s">
        <v>175</v>
      </c>
    </row>
    <row r="80">
      <c r="A80" s="6" t="s">
        <v>329</v>
      </c>
      <c r="B80" s="4" t="s">
        <v>330</v>
      </c>
      <c r="C80" s="4" t="s">
        <v>150</v>
      </c>
    </row>
    <row r="81">
      <c r="A81" s="20"/>
      <c r="B81" s="4" t="s">
        <v>331</v>
      </c>
      <c r="C81" s="4" t="s">
        <v>57</v>
      </c>
    </row>
    <row r="82">
      <c r="A82" s="22" t="s">
        <v>332</v>
      </c>
      <c r="B82" s="23" t="s">
        <v>333</v>
      </c>
      <c r="C82" s="23" t="s">
        <v>49</v>
      </c>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2" max="2" width="18.38"/>
  </cols>
  <sheetData>
    <row r="1">
      <c r="A1" s="1" t="s">
        <v>0</v>
      </c>
      <c r="B1" s="1" t="s">
        <v>1</v>
      </c>
      <c r="C1" s="1" t="s">
        <v>2</v>
      </c>
      <c r="E1" s="5"/>
      <c r="F1" s="5"/>
      <c r="G1" s="5"/>
    </row>
    <row r="2">
      <c r="A2" s="4" t="s">
        <v>334</v>
      </c>
      <c r="B2" s="4" t="s">
        <v>335</v>
      </c>
      <c r="C2" s="4" t="s">
        <v>212</v>
      </c>
    </row>
    <row r="3">
      <c r="A3" s="4" t="s">
        <v>336</v>
      </c>
      <c r="B3" s="4" t="s">
        <v>337</v>
      </c>
      <c r="C3" s="4" t="s">
        <v>212</v>
      </c>
    </row>
    <row r="4">
      <c r="A4" s="4" t="s">
        <v>338</v>
      </c>
      <c r="B4" s="4" t="s">
        <v>339</v>
      </c>
      <c r="C4" s="4" t="s">
        <v>53</v>
      </c>
    </row>
    <row r="5">
      <c r="A5" s="4" t="s">
        <v>51</v>
      </c>
      <c r="B5" s="4" t="s">
        <v>340</v>
      </c>
      <c r="C5" s="4" t="s">
        <v>53</v>
      </c>
    </row>
    <row r="6">
      <c r="A6" s="4" t="s">
        <v>341</v>
      </c>
      <c r="B6" s="4" t="s">
        <v>342</v>
      </c>
      <c r="C6" s="4" t="s">
        <v>50</v>
      </c>
    </row>
    <row r="7">
      <c r="A7" s="4" t="s">
        <v>343</v>
      </c>
      <c r="B7" s="4" t="s">
        <v>344</v>
      </c>
      <c r="C7" s="4" t="s">
        <v>50</v>
      </c>
    </row>
    <row r="8">
      <c r="A8" s="4" t="s">
        <v>345</v>
      </c>
      <c r="B8" s="4" t="s">
        <v>346</v>
      </c>
      <c r="C8" s="4" t="s">
        <v>50</v>
      </c>
    </row>
    <row r="9">
      <c r="A9" s="4" t="s">
        <v>347</v>
      </c>
      <c r="B9" s="4" t="s">
        <v>348</v>
      </c>
      <c r="C9" s="4" t="s">
        <v>50</v>
      </c>
    </row>
    <row r="10">
      <c r="A10" s="4" t="s">
        <v>349</v>
      </c>
      <c r="B10" s="4" t="s">
        <v>350</v>
      </c>
      <c r="C10" s="4" t="s">
        <v>54</v>
      </c>
    </row>
    <row r="11">
      <c r="A11" s="4" t="s">
        <v>351</v>
      </c>
      <c r="B11" s="4" t="s">
        <v>352</v>
      </c>
      <c r="C11" s="4" t="s">
        <v>60</v>
      </c>
    </row>
    <row r="12">
      <c r="A12" s="4" t="s">
        <v>353</v>
      </c>
      <c r="B12" s="4" t="s">
        <v>354</v>
      </c>
      <c r="C12" s="4" t="s">
        <v>60</v>
      </c>
    </row>
    <row r="13">
      <c r="A13" s="4" t="s">
        <v>355</v>
      </c>
      <c r="B13" s="4" t="s">
        <v>356</v>
      </c>
      <c r="C13" s="4" t="s">
        <v>60</v>
      </c>
    </row>
    <row r="14">
      <c r="A14" s="4" t="s">
        <v>357</v>
      </c>
      <c r="B14" s="4" t="s">
        <v>358</v>
      </c>
      <c r="C14" s="19" t="s">
        <v>222</v>
      </c>
    </row>
    <row r="15">
      <c r="A15" s="4" t="s">
        <v>359</v>
      </c>
      <c r="B15" s="4" t="s">
        <v>360</v>
      </c>
      <c r="C15" s="19" t="s">
        <v>222</v>
      </c>
    </row>
    <row r="17">
      <c r="A17" s="21" t="s">
        <v>291</v>
      </c>
      <c r="B17" s="21" t="s">
        <v>1</v>
      </c>
      <c r="C17" s="21" t="s">
        <v>2</v>
      </c>
    </row>
    <row r="18">
      <c r="A18" s="8" t="s">
        <v>361</v>
      </c>
      <c r="B18" s="4" t="s">
        <v>362</v>
      </c>
      <c r="C18" s="4" t="s">
        <v>212</v>
      </c>
    </row>
    <row r="19">
      <c r="A19" s="24"/>
      <c r="B19" s="4" t="s">
        <v>363</v>
      </c>
      <c r="C19" s="4" t="s">
        <v>53</v>
      </c>
    </row>
    <row r="20">
      <c r="A20" s="24"/>
      <c r="B20" s="4" t="s">
        <v>364</v>
      </c>
      <c r="C20" s="4" t="s">
        <v>50</v>
      </c>
    </row>
    <row r="21">
      <c r="A21" s="24"/>
      <c r="B21" s="4" t="s">
        <v>365</v>
      </c>
      <c r="C21" s="4" t="s">
        <v>50</v>
      </c>
    </row>
    <row r="22">
      <c r="A22" s="24"/>
      <c r="B22" s="4" t="s">
        <v>366</v>
      </c>
      <c r="C22" s="4" t="s">
        <v>60</v>
      </c>
    </row>
    <row r="23">
      <c r="A23" s="24"/>
      <c r="B23" s="4" t="s">
        <v>367</v>
      </c>
      <c r="C23" s="4" t="s">
        <v>50</v>
      </c>
    </row>
    <row r="24">
      <c r="A24" s="8" t="s">
        <v>368</v>
      </c>
      <c r="B24" s="4" t="s">
        <v>369</v>
      </c>
      <c r="C24" s="4" t="s">
        <v>50</v>
      </c>
    </row>
    <row r="25">
      <c r="A25" s="24"/>
      <c r="B25" s="4" t="s">
        <v>370</v>
      </c>
      <c r="C25" s="25" t="s">
        <v>222</v>
      </c>
    </row>
    <row r="26">
      <c r="A26" s="8" t="s">
        <v>371</v>
      </c>
      <c r="B26" s="4" t="s">
        <v>372</v>
      </c>
      <c r="C26" s="4" t="s">
        <v>212</v>
      </c>
    </row>
    <row r="27">
      <c r="A27" s="24"/>
      <c r="B27" s="4" t="s">
        <v>373</v>
      </c>
      <c r="C27" s="4" t="s">
        <v>53</v>
      </c>
    </row>
    <row r="28">
      <c r="A28" s="24"/>
      <c r="B28" s="4" t="s">
        <v>374</v>
      </c>
      <c r="C28" s="4" t="s">
        <v>50</v>
      </c>
    </row>
    <row r="29">
      <c r="A29" s="24"/>
      <c r="B29" s="4" t="s">
        <v>375</v>
      </c>
      <c r="C29" s="4" t="s">
        <v>50</v>
      </c>
    </row>
    <row r="30">
      <c r="A30" s="8" t="s">
        <v>376</v>
      </c>
      <c r="B30" s="4" t="s">
        <v>377</v>
      </c>
      <c r="C30" s="4" t="s">
        <v>54</v>
      </c>
    </row>
    <row r="31">
      <c r="A31" s="24"/>
      <c r="B31" s="4" t="s">
        <v>378</v>
      </c>
      <c r="C31" s="25" t="s">
        <v>222</v>
      </c>
    </row>
    <row r="32">
      <c r="A32" s="8" t="s">
        <v>379</v>
      </c>
      <c r="B32" s="4" t="s">
        <v>380</v>
      </c>
      <c r="C32" s="4" t="s">
        <v>60</v>
      </c>
    </row>
    <row r="33">
      <c r="A33" s="24"/>
      <c r="B33" s="4" t="s">
        <v>381</v>
      </c>
      <c r="C33" s="4" t="s">
        <v>60</v>
      </c>
    </row>
    <row r="34">
      <c r="A34" s="8"/>
    </row>
  </sheetData>
  <hyperlinks>
    <hyperlink r:id="rId1" ref="C14"/>
    <hyperlink r:id="rId2" ref="C15"/>
    <hyperlink r:id="rId3" ref="C25"/>
    <hyperlink r:id="rId4" ref="C31"/>
  </hyperlinks>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8"/>
    <col customWidth="1" min="2" max="2" width="27.5"/>
    <col customWidth="1" min="3" max="3" width="19.0"/>
  </cols>
  <sheetData>
    <row r="1">
      <c r="A1" s="6" t="s">
        <v>382</v>
      </c>
      <c r="B1" s="6" t="s">
        <v>182</v>
      </c>
      <c r="C1" s="6" t="s">
        <v>129</v>
      </c>
    </row>
    <row r="2">
      <c r="A2" s="4" t="s">
        <v>383</v>
      </c>
      <c r="B2" s="4" t="s">
        <v>5</v>
      </c>
      <c r="C2" s="4" t="s">
        <v>384</v>
      </c>
    </row>
    <row r="3">
      <c r="A3" s="4" t="s">
        <v>385</v>
      </c>
      <c r="B3" s="4" t="s">
        <v>5</v>
      </c>
      <c r="C3" s="4" t="s">
        <v>386</v>
      </c>
    </row>
    <row r="4">
      <c r="A4" s="4" t="s">
        <v>387</v>
      </c>
      <c r="B4" s="4" t="s">
        <v>227</v>
      </c>
      <c r="C4" s="4" t="s">
        <v>388</v>
      </c>
    </row>
    <row r="5">
      <c r="A5" s="4" t="s">
        <v>389</v>
      </c>
      <c r="B5" s="4" t="s">
        <v>227</v>
      </c>
      <c r="C5" s="4" t="s">
        <v>390</v>
      </c>
    </row>
    <row r="6">
      <c r="A6" s="4" t="s">
        <v>391</v>
      </c>
      <c r="B6" s="4" t="s">
        <v>227</v>
      </c>
      <c r="C6" s="4" t="s">
        <v>392</v>
      </c>
    </row>
    <row r="7">
      <c r="A7" s="4" t="s">
        <v>393</v>
      </c>
      <c r="B7" s="4" t="s">
        <v>230</v>
      </c>
      <c r="C7" s="4" t="s">
        <v>394</v>
      </c>
    </row>
    <row r="8">
      <c r="A8" s="4" t="s">
        <v>395</v>
      </c>
      <c r="B8" s="4" t="s">
        <v>150</v>
      </c>
      <c r="C8" s="4" t="s">
        <v>396</v>
      </c>
    </row>
    <row r="9">
      <c r="A9" s="4" t="s">
        <v>397</v>
      </c>
      <c r="B9" s="4" t="s">
        <v>45</v>
      </c>
      <c r="C9" s="4" t="s">
        <v>398</v>
      </c>
    </row>
    <row r="10">
      <c r="A10" s="4" t="s">
        <v>399</v>
      </c>
      <c r="B10" s="4" t="s">
        <v>45</v>
      </c>
      <c r="C10" s="4" t="s">
        <v>400</v>
      </c>
    </row>
    <row r="11">
      <c r="A11" s="4" t="s">
        <v>401</v>
      </c>
      <c r="B11" s="4" t="s">
        <v>45</v>
      </c>
      <c r="C11" s="4" t="s">
        <v>402</v>
      </c>
    </row>
    <row r="12">
      <c r="A12" s="4" t="s">
        <v>403</v>
      </c>
      <c r="B12" s="4" t="s">
        <v>45</v>
      </c>
      <c r="C12" s="4" t="s">
        <v>404</v>
      </c>
    </row>
    <row r="13">
      <c r="A13" s="4" t="s">
        <v>405</v>
      </c>
      <c r="B13" s="4" t="s">
        <v>45</v>
      </c>
      <c r="C13" s="4" t="s">
        <v>406</v>
      </c>
    </row>
    <row r="14">
      <c r="A14" s="4" t="s">
        <v>407</v>
      </c>
      <c r="B14" s="4" t="s">
        <v>45</v>
      </c>
      <c r="C14" s="4" t="s">
        <v>408</v>
      </c>
    </row>
    <row r="15">
      <c r="A15" s="4" t="s">
        <v>409</v>
      </c>
      <c r="B15" s="4" t="s">
        <v>37</v>
      </c>
      <c r="C15" s="4" t="s">
        <v>410</v>
      </c>
    </row>
    <row r="16">
      <c r="A16" s="4" t="s">
        <v>411</v>
      </c>
      <c r="B16" s="4" t="s">
        <v>49</v>
      </c>
      <c r="C16" s="4" t="s">
        <v>412</v>
      </c>
    </row>
    <row r="17">
      <c r="A17" s="4" t="s">
        <v>413</v>
      </c>
      <c r="B17" s="4" t="s">
        <v>41</v>
      </c>
      <c r="C17" s="4" t="s">
        <v>414</v>
      </c>
    </row>
    <row r="18">
      <c r="A18" s="4" t="s">
        <v>415</v>
      </c>
      <c r="B18" s="4" t="s">
        <v>41</v>
      </c>
      <c r="C18" s="4" t="s">
        <v>416</v>
      </c>
    </row>
    <row r="19">
      <c r="A19" s="4" t="s">
        <v>417</v>
      </c>
      <c r="B19" s="4" t="s">
        <v>41</v>
      </c>
      <c r="C19" s="4" t="s">
        <v>418</v>
      </c>
    </row>
    <row r="20">
      <c r="A20" s="4" t="s">
        <v>419</v>
      </c>
      <c r="B20" s="4" t="s">
        <v>41</v>
      </c>
      <c r="C20" s="4" t="s">
        <v>420</v>
      </c>
    </row>
    <row r="21">
      <c r="A21" s="4" t="s">
        <v>421</v>
      </c>
      <c r="B21" s="4" t="s">
        <v>41</v>
      </c>
      <c r="C21" s="4" t="s">
        <v>422</v>
      </c>
    </row>
    <row r="22">
      <c r="A22" s="4" t="s">
        <v>423</v>
      </c>
      <c r="B22" s="4" t="s">
        <v>34</v>
      </c>
      <c r="C22" s="4" t="s">
        <v>424</v>
      </c>
    </row>
    <row r="23">
      <c r="A23" s="4" t="s">
        <v>425</v>
      </c>
      <c r="B23" s="4" t="s">
        <v>34</v>
      </c>
      <c r="C23" s="4" t="s">
        <v>426</v>
      </c>
    </row>
    <row r="24">
      <c r="A24" s="4" t="s">
        <v>427</v>
      </c>
      <c r="B24" s="4" t="s">
        <v>34</v>
      </c>
      <c r="C24" s="4" t="s">
        <v>428</v>
      </c>
    </row>
    <row r="25">
      <c r="A25" s="4" t="s">
        <v>429</v>
      </c>
      <c r="B25" s="4" t="s">
        <v>34</v>
      </c>
      <c r="C25" s="4" t="s">
        <v>430</v>
      </c>
    </row>
    <row r="26">
      <c r="A26" s="4" t="s">
        <v>431</v>
      </c>
      <c r="B26" s="4" t="s">
        <v>21</v>
      </c>
      <c r="C26" s="4" t="s">
        <v>432</v>
      </c>
    </row>
    <row r="27">
      <c r="A27" s="4" t="s">
        <v>433</v>
      </c>
      <c r="B27" s="4" t="s">
        <v>21</v>
      </c>
      <c r="C27" s="4" t="s">
        <v>434</v>
      </c>
    </row>
    <row r="28">
      <c r="A28" s="4" t="s">
        <v>435</v>
      </c>
      <c r="B28" s="4" t="s">
        <v>21</v>
      </c>
      <c r="C28" s="4" t="s">
        <v>436</v>
      </c>
    </row>
    <row r="29">
      <c r="A29" s="4" t="s">
        <v>437</v>
      </c>
      <c r="B29" s="4" t="s">
        <v>21</v>
      </c>
      <c r="C29" s="4" t="s">
        <v>438</v>
      </c>
    </row>
    <row r="30">
      <c r="A30" s="4" t="s">
        <v>439</v>
      </c>
      <c r="B30" s="4" t="s">
        <v>21</v>
      </c>
      <c r="C30" s="4" t="s">
        <v>169</v>
      </c>
    </row>
    <row r="31">
      <c r="A31" s="4" t="s">
        <v>440</v>
      </c>
      <c r="B31" s="4" t="s">
        <v>24</v>
      </c>
      <c r="C31" s="4" t="s">
        <v>441</v>
      </c>
    </row>
    <row r="32">
      <c r="A32" s="4" t="s">
        <v>442</v>
      </c>
      <c r="B32" s="4" t="s">
        <v>24</v>
      </c>
      <c r="C32" s="4" t="s">
        <v>443</v>
      </c>
    </row>
    <row r="33">
      <c r="A33" s="4" t="s">
        <v>444</v>
      </c>
      <c r="B33" s="4" t="s">
        <v>24</v>
      </c>
      <c r="C33" s="4" t="s">
        <v>445</v>
      </c>
    </row>
    <row r="34">
      <c r="A34" s="4" t="s">
        <v>446</v>
      </c>
      <c r="B34" s="4" t="s">
        <v>24</v>
      </c>
      <c r="C34" s="4" t="s">
        <v>447</v>
      </c>
    </row>
    <row r="35">
      <c r="A35" s="4" t="s">
        <v>448</v>
      </c>
      <c r="B35" s="4" t="s">
        <v>24</v>
      </c>
      <c r="C35" s="4" t="s">
        <v>449</v>
      </c>
    </row>
    <row r="36">
      <c r="A36" s="4" t="s">
        <v>450</v>
      </c>
      <c r="B36" s="4" t="s">
        <v>24</v>
      </c>
      <c r="C36" s="4" t="s">
        <v>451</v>
      </c>
    </row>
    <row r="37">
      <c r="A37" s="4" t="s">
        <v>452</v>
      </c>
      <c r="B37" s="4" t="s">
        <v>24</v>
      </c>
      <c r="C37" s="4" t="s">
        <v>453</v>
      </c>
    </row>
    <row r="38">
      <c r="A38" s="4" t="s">
        <v>454</v>
      </c>
      <c r="B38" s="4" t="s">
        <v>57</v>
      </c>
      <c r="C38" s="4" t="s">
        <v>455</v>
      </c>
    </row>
    <row r="39">
      <c r="A39" s="4" t="s">
        <v>456</v>
      </c>
      <c r="B39" s="4" t="s">
        <v>57</v>
      </c>
      <c r="C39" s="4" t="s">
        <v>457</v>
      </c>
    </row>
    <row r="40">
      <c r="A40" s="4" t="s">
        <v>458</v>
      </c>
      <c r="B40" s="4" t="s">
        <v>57</v>
      </c>
      <c r="C40" s="4" t="s">
        <v>459</v>
      </c>
    </row>
    <row r="41">
      <c r="A41" s="4" t="s">
        <v>460</v>
      </c>
      <c r="B41" s="4" t="s">
        <v>57</v>
      </c>
      <c r="C41" s="4" t="s">
        <v>461</v>
      </c>
    </row>
    <row r="42">
      <c r="A42" s="4" t="s">
        <v>462</v>
      </c>
      <c r="B42" s="4" t="s">
        <v>57</v>
      </c>
      <c r="C42" s="4" t="s">
        <v>145</v>
      </c>
    </row>
    <row r="43">
      <c r="A43" s="4" t="s">
        <v>463</v>
      </c>
      <c r="B43" s="4" t="s">
        <v>173</v>
      </c>
      <c r="C43" s="4" t="s">
        <v>464</v>
      </c>
    </row>
    <row r="44">
      <c r="A44" s="4" t="s">
        <v>465</v>
      </c>
      <c r="B44" s="4" t="s">
        <v>173</v>
      </c>
      <c r="C44" s="4" t="s">
        <v>466</v>
      </c>
    </row>
    <row r="45">
      <c r="A45" s="4" t="s">
        <v>467</v>
      </c>
      <c r="B45" s="4" t="s">
        <v>173</v>
      </c>
      <c r="C45" s="4" t="s">
        <v>468</v>
      </c>
    </row>
    <row r="46">
      <c r="A46" s="4" t="s">
        <v>469</v>
      </c>
      <c r="B46" s="4" t="s">
        <v>173</v>
      </c>
      <c r="C46" s="4" t="s">
        <v>470</v>
      </c>
    </row>
    <row r="47">
      <c r="A47" s="4" t="s">
        <v>471</v>
      </c>
      <c r="B47" s="4" t="s">
        <v>175</v>
      </c>
      <c r="C47" s="4" t="s">
        <v>472</v>
      </c>
    </row>
    <row r="48">
      <c r="A48" s="4" t="s">
        <v>473</v>
      </c>
      <c r="B48" s="4" t="s">
        <v>175</v>
      </c>
      <c r="C48" s="4" t="s">
        <v>474</v>
      </c>
    </row>
    <row r="49">
      <c r="A49" s="4" t="s">
        <v>475</v>
      </c>
      <c r="B49" s="4" t="s">
        <v>175</v>
      </c>
      <c r="C49" s="4" t="s">
        <v>476</v>
      </c>
    </row>
    <row r="50">
      <c r="A50" s="4" t="s">
        <v>477</v>
      </c>
      <c r="B50" s="4" t="s">
        <v>175</v>
      </c>
      <c r="C50" s="4" t="s">
        <v>478</v>
      </c>
    </row>
    <row r="51">
      <c r="A51" s="4" t="s">
        <v>479</v>
      </c>
      <c r="B51" s="4" t="s">
        <v>175</v>
      </c>
      <c r="C51" s="4" t="s">
        <v>480</v>
      </c>
    </row>
    <row r="52">
      <c r="A52" s="4" t="s">
        <v>481</v>
      </c>
      <c r="B52" s="4" t="s">
        <v>175</v>
      </c>
      <c r="C52" s="4" t="s">
        <v>482</v>
      </c>
    </row>
    <row r="53">
      <c r="A53" s="4" t="s">
        <v>483</v>
      </c>
      <c r="B53" s="4" t="s">
        <v>175</v>
      </c>
      <c r="C53" s="4" t="s">
        <v>484</v>
      </c>
    </row>
    <row r="54">
      <c r="A54" s="4" t="s">
        <v>485</v>
      </c>
      <c r="B54" s="4" t="s">
        <v>175</v>
      </c>
      <c r="C54" s="4" t="s">
        <v>486</v>
      </c>
    </row>
    <row r="55">
      <c r="A55" s="4" t="s">
        <v>487</v>
      </c>
      <c r="B55" s="4" t="s">
        <v>5</v>
      </c>
      <c r="C55" s="4" t="s">
        <v>488</v>
      </c>
    </row>
    <row r="56">
      <c r="A56" s="4" t="s">
        <v>489</v>
      </c>
      <c r="B56" s="4" t="s">
        <v>5</v>
      </c>
      <c r="C56" s="4" t="s">
        <v>283</v>
      </c>
    </row>
    <row r="58">
      <c r="A58" s="5"/>
      <c r="B58" s="5"/>
      <c r="C58" s="5"/>
    </row>
    <row r="59">
      <c r="A59" s="5" t="s">
        <v>490</v>
      </c>
      <c r="B59" s="5" t="s">
        <v>182</v>
      </c>
      <c r="C59" s="5" t="s">
        <v>491</v>
      </c>
    </row>
    <row r="60">
      <c r="A60" s="4" t="s">
        <v>492</v>
      </c>
      <c r="B60" s="4" t="s">
        <v>5</v>
      </c>
      <c r="C60" s="4" t="s">
        <v>493</v>
      </c>
    </row>
    <row r="61">
      <c r="B61" s="4" t="s">
        <v>127</v>
      </c>
      <c r="C61" s="4" t="s">
        <v>494</v>
      </c>
    </row>
    <row r="62">
      <c r="B62" s="4" t="s">
        <v>173</v>
      </c>
      <c r="C62" s="4" t="s">
        <v>495</v>
      </c>
    </row>
    <row r="63">
      <c r="B63" s="4" t="s">
        <v>496</v>
      </c>
      <c r="C63" s="4" t="s">
        <v>497</v>
      </c>
    </row>
    <row r="64">
      <c r="A64" s="4" t="s">
        <v>498</v>
      </c>
      <c r="B64" s="4" t="s">
        <v>5</v>
      </c>
      <c r="C64" s="4" t="s">
        <v>499</v>
      </c>
    </row>
    <row r="65">
      <c r="B65" s="4" t="s">
        <v>45</v>
      </c>
      <c r="C65" s="4" t="s">
        <v>500</v>
      </c>
    </row>
    <row r="66">
      <c r="B66" s="4" t="s">
        <v>41</v>
      </c>
      <c r="C66" s="4" t="s">
        <v>501</v>
      </c>
    </row>
    <row r="67">
      <c r="B67" s="4" t="s">
        <v>496</v>
      </c>
      <c r="C67" s="4" t="s">
        <v>502</v>
      </c>
    </row>
    <row r="68">
      <c r="A68" s="4" t="s">
        <v>503</v>
      </c>
      <c r="B68" s="4" t="s">
        <v>57</v>
      </c>
      <c r="C68" s="4" t="s">
        <v>504</v>
      </c>
    </row>
    <row r="69">
      <c r="B69" s="4" t="s">
        <v>37</v>
      </c>
      <c r="C69" s="4" t="s">
        <v>505</v>
      </c>
    </row>
    <row r="70">
      <c r="B70" s="4" t="s">
        <v>53</v>
      </c>
      <c r="C70" s="4" t="s">
        <v>506</v>
      </c>
    </row>
    <row r="71">
      <c r="A71" s="4" t="s">
        <v>507</v>
      </c>
      <c r="B71" s="4" t="s">
        <v>24</v>
      </c>
      <c r="C71" s="4" t="s">
        <v>508</v>
      </c>
    </row>
    <row r="72">
      <c r="B72" s="4" t="s">
        <v>41</v>
      </c>
      <c r="C72" s="4" t="s">
        <v>509</v>
      </c>
    </row>
    <row r="73">
      <c r="B73" s="4" t="s">
        <v>45</v>
      </c>
      <c r="C73" s="4" t="s">
        <v>510</v>
      </c>
    </row>
    <row r="74">
      <c r="B74" s="4" t="s">
        <v>34</v>
      </c>
      <c r="C74" s="4" t="s">
        <v>511</v>
      </c>
    </row>
    <row r="75">
      <c r="B75" s="4" t="s">
        <v>512</v>
      </c>
      <c r="C75" s="4" t="s">
        <v>513</v>
      </c>
    </row>
    <row r="76">
      <c r="A76" s="4" t="s">
        <v>514</v>
      </c>
      <c r="B76" s="4" t="s">
        <v>41</v>
      </c>
      <c r="C76" s="4" t="s">
        <v>515</v>
      </c>
    </row>
    <row r="77">
      <c r="B77" s="4" t="s">
        <v>512</v>
      </c>
      <c r="C77" s="4" t="s">
        <v>516</v>
      </c>
    </row>
    <row r="78">
      <c r="B78" s="4" t="s">
        <v>5</v>
      </c>
      <c r="C78" s="4" t="s">
        <v>517</v>
      </c>
    </row>
    <row r="79">
      <c r="B79" s="4" t="s">
        <v>512</v>
      </c>
      <c r="C79" s="4" t="s">
        <v>518</v>
      </c>
    </row>
    <row r="80">
      <c r="A80" s="4" t="s">
        <v>519</v>
      </c>
      <c r="B80" s="4" t="s">
        <v>53</v>
      </c>
      <c r="C80" s="4" t="s">
        <v>520</v>
      </c>
    </row>
    <row r="81">
      <c r="B81" s="4" t="s">
        <v>50</v>
      </c>
      <c r="C81" s="4" t="s">
        <v>521</v>
      </c>
    </row>
    <row r="82">
      <c r="B82" s="4" t="s">
        <v>54</v>
      </c>
      <c r="C82" s="4" t="s">
        <v>522</v>
      </c>
    </row>
    <row r="83">
      <c r="A83" s="4" t="s">
        <v>523</v>
      </c>
      <c r="B83" s="4" t="s">
        <v>45</v>
      </c>
      <c r="C83" s="4" t="s">
        <v>524</v>
      </c>
    </row>
    <row r="84">
      <c r="B84" s="4" t="s">
        <v>41</v>
      </c>
      <c r="C84" s="4" t="s">
        <v>525</v>
      </c>
    </row>
    <row r="85">
      <c r="B85" s="4" t="s">
        <v>34</v>
      </c>
      <c r="C85" s="4" t="s">
        <v>526</v>
      </c>
    </row>
    <row r="86">
      <c r="A86" s="4" t="s">
        <v>527</v>
      </c>
      <c r="B86" s="4" t="s">
        <v>227</v>
      </c>
      <c r="C86" s="4" t="s">
        <v>528</v>
      </c>
    </row>
    <row r="87">
      <c r="B87" s="4" t="s">
        <v>173</v>
      </c>
      <c r="C87" s="4" t="s">
        <v>529</v>
      </c>
    </row>
    <row r="88">
      <c r="B88" s="4" t="s">
        <v>512</v>
      </c>
      <c r="C88" s="4" t="s">
        <v>530</v>
      </c>
    </row>
    <row r="89">
      <c r="A89" s="4" t="s">
        <v>531</v>
      </c>
      <c r="B89" s="4" t="s">
        <v>496</v>
      </c>
      <c r="C89" s="4" t="s">
        <v>532</v>
      </c>
    </row>
    <row r="90">
      <c r="B90" s="4" t="s">
        <v>24</v>
      </c>
      <c r="C90" s="4" t="s">
        <v>533</v>
      </c>
    </row>
    <row r="91">
      <c r="B91" s="4" t="s">
        <v>34</v>
      </c>
      <c r="C91" s="4" t="s">
        <v>534</v>
      </c>
    </row>
    <row r="92">
      <c r="A92" s="4" t="s">
        <v>535</v>
      </c>
      <c r="B92" s="4" t="s">
        <v>57</v>
      </c>
      <c r="C92" s="4" t="s">
        <v>536</v>
      </c>
    </row>
    <row r="93">
      <c r="B93" s="4" t="s">
        <v>34</v>
      </c>
      <c r="C93" s="4" t="s">
        <v>537</v>
      </c>
    </row>
    <row r="94">
      <c r="B94" s="4" t="s">
        <v>50</v>
      </c>
      <c r="C94" s="4" t="s">
        <v>538</v>
      </c>
    </row>
    <row r="95">
      <c r="A95" s="4" t="s">
        <v>539</v>
      </c>
      <c r="B95" s="4" t="s">
        <v>57</v>
      </c>
      <c r="C95" s="4" t="s">
        <v>540</v>
      </c>
    </row>
    <row r="96">
      <c r="B96" s="4" t="s">
        <v>24</v>
      </c>
      <c r="C96" s="4" t="s">
        <v>541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0"/>
    <col customWidth="1" min="3" max="3" width="51.63"/>
  </cols>
  <sheetData>
    <row r="1">
      <c r="A1" s="6" t="s">
        <v>382</v>
      </c>
      <c r="B1" s="6" t="s">
        <v>182</v>
      </c>
      <c r="C1" s="8" t="s">
        <v>129</v>
      </c>
    </row>
    <row r="2">
      <c r="A2" s="4" t="s">
        <v>542</v>
      </c>
      <c r="B2" s="4" t="s">
        <v>53</v>
      </c>
      <c r="C2" s="10" t="s">
        <v>543</v>
      </c>
    </row>
    <row r="3">
      <c r="A3" s="4" t="s">
        <v>544</v>
      </c>
      <c r="B3" s="19" t="s">
        <v>222</v>
      </c>
      <c r="C3" s="10" t="s">
        <v>545</v>
      </c>
    </row>
    <row r="4">
      <c r="C4" s="12"/>
    </row>
    <row r="5">
      <c r="C5" s="12"/>
    </row>
    <row r="6">
      <c r="C6" s="12"/>
    </row>
    <row r="7">
      <c r="C7" s="12"/>
    </row>
    <row r="8">
      <c r="C8" s="12"/>
    </row>
    <row r="9">
      <c r="C9" s="12"/>
    </row>
    <row r="10">
      <c r="C10" s="12"/>
    </row>
    <row r="11">
      <c r="C11" s="12"/>
    </row>
    <row r="12">
      <c r="C12" s="12"/>
    </row>
    <row r="13">
      <c r="C13" s="12"/>
    </row>
    <row r="14">
      <c r="C14" s="12"/>
    </row>
    <row r="15">
      <c r="C15" s="12"/>
    </row>
    <row r="16">
      <c r="C16" s="12"/>
    </row>
    <row r="17">
      <c r="C17" s="12"/>
    </row>
    <row r="18">
      <c r="C18" s="12"/>
    </row>
    <row r="19">
      <c r="C19" s="12"/>
    </row>
    <row r="20">
      <c r="C20" s="12"/>
    </row>
    <row r="21">
      <c r="C21" s="12"/>
    </row>
    <row r="22">
      <c r="C22" s="12"/>
    </row>
    <row r="23">
      <c r="C23" s="12"/>
    </row>
    <row r="24">
      <c r="C24" s="12"/>
    </row>
    <row r="25">
      <c r="C25" s="12"/>
    </row>
    <row r="26">
      <c r="C26" s="12"/>
    </row>
    <row r="27">
      <c r="C27" s="12"/>
    </row>
    <row r="28">
      <c r="C28" s="12"/>
    </row>
    <row r="29">
      <c r="C29" s="12"/>
    </row>
    <row r="30">
      <c r="C30" s="12"/>
    </row>
    <row r="31">
      <c r="C31" s="12"/>
    </row>
    <row r="32">
      <c r="C32" s="12"/>
    </row>
    <row r="33">
      <c r="C33" s="12"/>
    </row>
    <row r="34">
      <c r="C34" s="12"/>
    </row>
    <row r="35">
      <c r="C35" s="12"/>
    </row>
    <row r="36">
      <c r="C36" s="12"/>
    </row>
    <row r="37">
      <c r="C37" s="12"/>
    </row>
    <row r="38">
      <c r="C38" s="12"/>
    </row>
    <row r="39">
      <c r="C39" s="12"/>
    </row>
    <row r="40">
      <c r="C40" s="12"/>
    </row>
    <row r="41">
      <c r="C41" s="12"/>
    </row>
    <row r="42">
      <c r="C42" s="12"/>
    </row>
    <row r="43">
      <c r="C43" s="12"/>
    </row>
    <row r="44">
      <c r="C44" s="12"/>
    </row>
    <row r="45">
      <c r="C45" s="12"/>
    </row>
    <row r="46">
      <c r="C46" s="12"/>
    </row>
    <row r="47">
      <c r="C47" s="12"/>
    </row>
    <row r="48">
      <c r="C48" s="12"/>
    </row>
    <row r="49">
      <c r="C49" s="12"/>
    </row>
    <row r="50">
      <c r="C50" s="12"/>
    </row>
    <row r="51">
      <c r="C51" s="12"/>
    </row>
    <row r="52">
      <c r="C52" s="12"/>
    </row>
    <row r="53">
      <c r="C53" s="12"/>
    </row>
    <row r="54">
      <c r="C54" s="12"/>
    </row>
    <row r="55">
      <c r="C55" s="12"/>
    </row>
    <row r="56">
      <c r="C56" s="12"/>
    </row>
    <row r="57">
      <c r="C57" s="12"/>
    </row>
    <row r="58">
      <c r="C58" s="12"/>
    </row>
    <row r="59">
      <c r="C59" s="12"/>
    </row>
    <row r="60">
      <c r="C60" s="12"/>
    </row>
    <row r="61">
      <c r="C61" s="12"/>
    </row>
    <row r="62">
      <c r="C62" s="12"/>
    </row>
    <row r="63">
      <c r="C63" s="12"/>
    </row>
    <row r="64">
      <c r="C64" s="12"/>
    </row>
    <row r="65">
      <c r="C65" s="12"/>
    </row>
    <row r="66">
      <c r="C66" s="12"/>
    </row>
    <row r="67">
      <c r="C67" s="12"/>
    </row>
    <row r="68">
      <c r="C68" s="12"/>
    </row>
    <row r="69">
      <c r="C69" s="12"/>
    </row>
    <row r="70">
      <c r="C70" s="12"/>
    </row>
    <row r="71">
      <c r="C71" s="12"/>
    </row>
    <row r="72">
      <c r="C72" s="12"/>
    </row>
    <row r="73">
      <c r="C73" s="12"/>
    </row>
    <row r="74">
      <c r="C74" s="12"/>
    </row>
    <row r="75">
      <c r="C75" s="12"/>
    </row>
    <row r="76">
      <c r="C76" s="12"/>
    </row>
    <row r="77">
      <c r="C77" s="12"/>
    </row>
    <row r="78">
      <c r="C78" s="12"/>
    </row>
    <row r="79">
      <c r="C79" s="12"/>
    </row>
    <row r="80">
      <c r="C80" s="12"/>
    </row>
    <row r="81">
      <c r="C81" s="12"/>
    </row>
    <row r="82">
      <c r="C82" s="12"/>
    </row>
    <row r="83">
      <c r="C83" s="12"/>
    </row>
    <row r="84">
      <c r="C84" s="12"/>
    </row>
    <row r="85">
      <c r="C85" s="12"/>
    </row>
    <row r="86">
      <c r="C86" s="12"/>
    </row>
    <row r="87">
      <c r="C87" s="12"/>
    </row>
    <row r="88">
      <c r="C88" s="12"/>
    </row>
    <row r="89">
      <c r="C89" s="12"/>
    </row>
    <row r="90">
      <c r="C90" s="12"/>
    </row>
    <row r="91">
      <c r="C91" s="12"/>
    </row>
    <row r="92">
      <c r="C92" s="12"/>
    </row>
    <row r="93">
      <c r="C93" s="12"/>
    </row>
    <row r="94">
      <c r="C94" s="12"/>
    </row>
    <row r="95">
      <c r="C95" s="12"/>
    </row>
    <row r="96">
      <c r="C96" s="12"/>
    </row>
    <row r="97">
      <c r="C97" s="12"/>
    </row>
    <row r="98">
      <c r="C98" s="12"/>
    </row>
    <row r="99">
      <c r="C99" s="12"/>
    </row>
    <row r="100">
      <c r="C100" s="12"/>
    </row>
    <row r="101">
      <c r="C101" s="12"/>
    </row>
    <row r="102">
      <c r="C102" s="12"/>
    </row>
    <row r="103">
      <c r="C103" s="12"/>
    </row>
    <row r="104">
      <c r="C104" s="12"/>
    </row>
    <row r="105">
      <c r="C105" s="12"/>
    </row>
    <row r="106">
      <c r="C106" s="12"/>
    </row>
    <row r="107">
      <c r="C107" s="12"/>
    </row>
    <row r="108">
      <c r="C108" s="12"/>
    </row>
    <row r="109">
      <c r="C109" s="12"/>
    </row>
    <row r="110">
      <c r="C110" s="12"/>
    </row>
    <row r="111">
      <c r="C111" s="12"/>
    </row>
    <row r="112">
      <c r="C112" s="12"/>
    </row>
    <row r="113">
      <c r="C113" s="12"/>
    </row>
    <row r="114">
      <c r="C114" s="12"/>
    </row>
    <row r="115">
      <c r="C115" s="12"/>
    </row>
    <row r="116">
      <c r="C116" s="12"/>
    </row>
    <row r="117">
      <c r="C117" s="12"/>
    </row>
    <row r="118">
      <c r="C118" s="12"/>
    </row>
    <row r="119">
      <c r="C119" s="12"/>
    </row>
    <row r="120">
      <c r="C120" s="12"/>
    </row>
    <row r="121">
      <c r="C121" s="12"/>
    </row>
    <row r="122">
      <c r="C122" s="12"/>
    </row>
    <row r="123">
      <c r="C123" s="12"/>
    </row>
    <row r="124">
      <c r="C124" s="12"/>
    </row>
    <row r="125">
      <c r="C125" s="12"/>
    </row>
    <row r="126">
      <c r="C126" s="12"/>
    </row>
    <row r="127">
      <c r="C127" s="12"/>
    </row>
    <row r="128">
      <c r="C128" s="12"/>
    </row>
    <row r="129">
      <c r="C129" s="12"/>
    </row>
    <row r="130">
      <c r="C130" s="12"/>
    </row>
    <row r="131">
      <c r="C131" s="12"/>
    </row>
    <row r="132">
      <c r="C132" s="12"/>
    </row>
    <row r="133">
      <c r="C133" s="12"/>
    </row>
    <row r="134">
      <c r="C134" s="12"/>
    </row>
    <row r="135">
      <c r="C135" s="12"/>
    </row>
    <row r="136">
      <c r="C136" s="12"/>
    </row>
    <row r="137">
      <c r="C137" s="12"/>
    </row>
    <row r="138">
      <c r="C138" s="12"/>
    </row>
    <row r="139">
      <c r="C139" s="12"/>
    </row>
    <row r="140">
      <c r="C140" s="12"/>
    </row>
    <row r="141">
      <c r="C141" s="12"/>
    </row>
    <row r="142">
      <c r="C142" s="12"/>
    </row>
    <row r="143">
      <c r="C143" s="12"/>
    </row>
    <row r="144">
      <c r="C144" s="12"/>
    </row>
    <row r="145">
      <c r="C145" s="12"/>
    </row>
    <row r="146">
      <c r="C146" s="12"/>
    </row>
    <row r="147">
      <c r="C147" s="12"/>
    </row>
    <row r="148">
      <c r="C148" s="12"/>
    </row>
    <row r="149">
      <c r="C149" s="12"/>
    </row>
    <row r="150">
      <c r="C150" s="12"/>
    </row>
    <row r="151">
      <c r="C151" s="12"/>
    </row>
    <row r="152">
      <c r="C152" s="12"/>
    </row>
    <row r="153">
      <c r="C153" s="12"/>
    </row>
    <row r="154">
      <c r="C154" s="12"/>
    </row>
    <row r="155">
      <c r="C155" s="12"/>
    </row>
    <row r="156">
      <c r="C156" s="12"/>
    </row>
    <row r="157">
      <c r="C157" s="12"/>
    </row>
    <row r="158">
      <c r="C158" s="12"/>
    </row>
    <row r="159">
      <c r="C159" s="12"/>
    </row>
    <row r="160">
      <c r="C160" s="12"/>
    </row>
    <row r="161">
      <c r="C161" s="12"/>
    </row>
    <row r="162">
      <c r="C162" s="12"/>
    </row>
    <row r="163">
      <c r="C163" s="12"/>
    </row>
    <row r="164">
      <c r="C164" s="12"/>
    </row>
    <row r="165">
      <c r="C165" s="12"/>
    </row>
    <row r="166">
      <c r="C166" s="12"/>
    </row>
    <row r="167">
      <c r="C167" s="12"/>
    </row>
    <row r="168">
      <c r="C168" s="12"/>
    </row>
    <row r="169">
      <c r="C169" s="12"/>
    </row>
    <row r="170">
      <c r="C170" s="12"/>
    </row>
    <row r="171">
      <c r="C171" s="12"/>
    </row>
    <row r="172">
      <c r="C172" s="12"/>
    </row>
    <row r="173">
      <c r="C173" s="12"/>
    </row>
    <row r="174">
      <c r="C174" s="12"/>
    </row>
    <row r="175">
      <c r="C175" s="12"/>
    </row>
    <row r="176">
      <c r="C176" s="12"/>
    </row>
    <row r="177">
      <c r="C177" s="12"/>
    </row>
    <row r="178">
      <c r="C178" s="12"/>
    </row>
    <row r="179">
      <c r="C179" s="12"/>
    </row>
    <row r="180">
      <c r="C180" s="12"/>
    </row>
    <row r="181">
      <c r="C181" s="12"/>
    </row>
    <row r="182">
      <c r="C182" s="12"/>
    </row>
    <row r="183">
      <c r="C183" s="12"/>
    </row>
    <row r="184">
      <c r="C184" s="12"/>
    </row>
    <row r="185">
      <c r="C185" s="12"/>
    </row>
    <row r="186">
      <c r="C186" s="12"/>
    </row>
    <row r="187">
      <c r="C187" s="12"/>
    </row>
    <row r="188">
      <c r="C188" s="12"/>
    </row>
    <row r="189">
      <c r="C189" s="12"/>
    </row>
    <row r="190">
      <c r="C190" s="12"/>
    </row>
    <row r="191">
      <c r="C191" s="12"/>
    </row>
    <row r="192">
      <c r="C192" s="12"/>
    </row>
    <row r="193">
      <c r="C193" s="12"/>
    </row>
    <row r="194">
      <c r="C194" s="12"/>
    </row>
    <row r="195">
      <c r="C195" s="12"/>
    </row>
    <row r="196">
      <c r="C196" s="12"/>
    </row>
    <row r="197">
      <c r="C197" s="12"/>
    </row>
    <row r="198">
      <c r="C198" s="12"/>
    </row>
    <row r="199">
      <c r="C199" s="12"/>
    </row>
    <row r="200">
      <c r="C200" s="12"/>
    </row>
    <row r="201">
      <c r="C201" s="12"/>
    </row>
    <row r="202">
      <c r="C202" s="12"/>
    </row>
    <row r="203">
      <c r="C203" s="12"/>
    </row>
    <row r="204">
      <c r="C204" s="12"/>
    </row>
    <row r="205">
      <c r="C205" s="12"/>
    </row>
    <row r="206">
      <c r="C206" s="12"/>
    </row>
    <row r="207">
      <c r="C207" s="12"/>
    </row>
    <row r="208">
      <c r="C208" s="12"/>
    </row>
    <row r="209">
      <c r="C209" s="12"/>
    </row>
    <row r="210">
      <c r="C210" s="12"/>
    </row>
    <row r="211">
      <c r="C211" s="12"/>
    </row>
    <row r="212">
      <c r="C212" s="12"/>
    </row>
    <row r="213">
      <c r="C213" s="12"/>
    </row>
    <row r="214">
      <c r="C214" s="12"/>
    </row>
    <row r="215">
      <c r="C215" s="12"/>
    </row>
    <row r="216">
      <c r="C216" s="12"/>
    </row>
    <row r="217">
      <c r="C217" s="12"/>
    </row>
    <row r="218">
      <c r="C218" s="12"/>
    </row>
    <row r="219">
      <c r="C219" s="12"/>
    </row>
    <row r="220">
      <c r="C220" s="12"/>
    </row>
    <row r="221">
      <c r="C221" s="12"/>
    </row>
    <row r="222">
      <c r="C222" s="12"/>
    </row>
    <row r="223">
      <c r="C223" s="12"/>
    </row>
    <row r="224">
      <c r="C224" s="12"/>
    </row>
    <row r="225">
      <c r="C225" s="12"/>
    </row>
    <row r="226">
      <c r="C226" s="12"/>
    </row>
    <row r="227">
      <c r="C227" s="12"/>
    </row>
    <row r="228">
      <c r="C228" s="12"/>
    </row>
    <row r="229">
      <c r="C229" s="12"/>
    </row>
    <row r="230">
      <c r="C230" s="12"/>
    </row>
    <row r="231">
      <c r="C231" s="12"/>
    </row>
    <row r="232">
      <c r="C232" s="12"/>
    </row>
    <row r="233">
      <c r="C233" s="12"/>
    </row>
    <row r="234">
      <c r="C234" s="12"/>
    </row>
    <row r="235">
      <c r="C235" s="12"/>
    </row>
    <row r="236">
      <c r="C236" s="12"/>
    </row>
    <row r="237">
      <c r="C237" s="12"/>
    </row>
    <row r="238">
      <c r="C238" s="12"/>
    </row>
    <row r="239">
      <c r="C239" s="12"/>
    </row>
    <row r="240">
      <c r="C240" s="12"/>
    </row>
    <row r="241">
      <c r="C241" s="12"/>
    </row>
    <row r="242">
      <c r="C242" s="12"/>
    </row>
    <row r="243">
      <c r="C243" s="12"/>
    </row>
    <row r="244">
      <c r="C244" s="12"/>
    </row>
    <row r="245">
      <c r="C245" s="12"/>
    </row>
    <row r="246">
      <c r="C246" s="12"/>
    </row>
    <row r="247">
      <c r="C247" s="12"/>
    </row>
    <row r="248">
      <c r="C248" s="12"/>
    </row>
    <row r="249">
      <c r="C249" s="12"/>
    </row>
    <row r="250">
      <c r="C250" s="12"/>
    </row>
    <row r="251">
      <c r="C251" s="12"/>
    </row>
    <row r="252">
      <c r="C252" s="12"/>
    </row>
    <row r="253">
      <c r="C253" s="12"/>
    </row>
    <row r="254">
      <c r="C254" s="12"/>
    </row>
    <row r="255">
      <c r="C255" s="12"/>
    </row>
    <row r="256">
      <c r="C256" s="12"/>
    </row>
    <row r="257">
      <c r="C257" s="12"/>
    </row>
    <row r="258">
      <c r="C258" s="12"/>
    </row>
    <row r="259">
      <c r="C259" s="12"/>
    </row>
    <row r="260">
      <c r="C260" s="12"/>
    </row>
    <row r="261">
      <c r="C261" s="12"/>
    </row>
    <row r="262">
      <c r="C262" s="12"/>
    </row>
    <row r="263">
      <c r="C263" s="12"/>
    </row>
    <row r="264">
      <c r="C264" s="12"/>
    </row>
    <row r="265">
      <c r="C265" s="12"/>
    </row>
    <row r="266">
      <c r="C266" s="12"/>
    </row>
    <row r="267">
      <c r="C267" s="12"/>
    </row>
    <row r="268">
      <c r="C268" s="12"/>
    </row>
    <row r="269">
      <c r="C269" s="12"/>
    </row>
    <row r="270">
      <c r="C270" s="12"/>
    </row>
    <row r="271">
      <c r="C271" s="12"/>
    </row>
    <row r="272">
      <c r="C272" s="12"/>
    </row>
    <row r="273">
      <c r="C273" s="12"/>
    </row>
    <row r="274">
      <c r="C274" s="12"/>
    </row>
    <row r="275">
      <c r="C275" s="12"/>
    </row>
    <row r="276">
      <c r="C276" s="12"/>
    </row>
    <row r="277">
      <c r="C277" s="12"/>
    </row>
    <row r="278">
      <c r="C278" s="12"/>
    </row>
    <row r="279">
      <c r="C279" s="12"/>
    </row>
    <row r="280">
      <c r="C280" s="12"/>
    </row>
    <row r="281">
      <c r="C281" s="12"/>
    </row>
    <row r="282">
      <c r="C282" s="12"/>
    </row>
    <row r="283">
      <c r="C283" s="12"/>
    </row>
    <row r="284">
      <c r="C284" s="12"/>
    </row>
    <row r="285">
      <c r="C285" s="12"/>
    </row>
    <row r="286">
      <c r="C286" s="12"/>
    </row>
    <row r="287">
      <c r="C287" s="12"/>
    </row>
    <row r="288">
      <c r="C288" s="12"/>
    </row>
    <row r="289">
      <c r="C289" s="12"/>
    </row>
    <row r="290">
      <c r="C290" s="12"/>
    </row>
    <row r="291">
      <c r="C291" s="12"/>
    </row>
    <row r="292">
      <c r="C292" s="12"/>
    </row>
    <row r="293">
      <c r="C293" s="12"/>
    </row>
    <row r="294">
      <c r="C294" s="12"/>
    </row>
    <row r="295">
      <c r="C295" s="12"/>
    </row>
    <row r="296">
      <c r="C296" s="12"/>
    </row>
    <row r="297">
      <c r="C297" s="12"/>
    </row>
    <row r="298">
      <c r="C298" s="12"/>
    </row>
    <row r="299">
      <c r="C299" s="12"/>
    </row>
    <row r="300">
      <c r="C300" s="12"/>
    </row>
    <row r="301">
      <c r="C301" s="12"/>
    </row>
    <row r="302">
      <c r="C302" s="12"/>
    </row>
    <row r="303">
      <c r="C303" s="12"/>
    </row>
    <row r="304">
      <c r="C304" s="12"/>
    </row>
    <row r="305">
      <c r="C305" s="12"/>
    </row>
    <row r="306">
      <c r="C306" s="12"/>
    </row>
    <row r="307">
      <c r="C307" s="12"/>
    </row>
    <row r="308">
      <c r="C308" s="12"/>
    </row>
    <row r="309">
      <c r="C309" s="12"/>
    </row>
    <row r="310">
      <c r="C310" s="12"/>
    </row>
    <row r="311">
      <c r="C311" s="12"/>
    </row>
    <row r="312">
      <c r="C312" s="12"/>
    </row>
    <row r="313">
      <c r="C313" s="12"/>
    </row>
    <row r="314">
      <c r="C314" s="12"/>
    </row>
    <row r="315">
      <c r="C315" s="12"/>
    </row>
    <row r="316">
      <c r="C316" s="12"/>
    </row>
    <row r="317">
      <c r="C317" s="12"/>
    </row>
    <row r="318">
      <c r="C318" s="12"/>
    </row>
    <row r="319">
      <c r="C319" s="12"/>
    </row>
    <row r="320">
      <c r="C320" s="12"/>
    </row>
    <row r="321">
      <c r="C321" s="12"/>
    </row>
    <row r="322">
      <c r="C322" s="12"/>
    </row>
    <row r="323">
      <c r="C323" s="12"/>
    </row>
    <row r="324">
      <c r="C324" s="12"/>
    </row>
    <row r="325">
      <c r="C325" s="12"/>
    </row>
    <row r="326">
      <c r="C326" s="12"/>
    </row>
    <row r="327">
      <c r="C327" s="12"/>
    </row>
    <row r="328">
      <c r="C328" s="12"/>
    </row>
    <row r="329">
      <c r="C329" s="12"/>
    </row>
    <row r="330">
      <c r="C330" s="12"/>
    </row>
    <row r="331">
      <c r="C331" s="12"/>
    </row>
    <row r="332">
      <c r="C332" s="12"/>
    </row>
    <row r="333">
      <c r="C333" s="12"/>
    </row>
    <row r="334">
      <c r="C334" s="12"/>
    </row>
    <row r="335">
      <c r="C335" s="12"/>
    </row>
    <row r="336">
      <c r="C336" s="12"/>
    </row>
    <row r="337">
      <c r="C337" s="12"/>
    </row>
    <row r="338">
      <c r="C338" s="12"/>
    </row>
    <row r="339">
      <c r="C339" s="12"/>
    </row>
    <row r="340">
      <c r="C340" s="12"/>
    </row>
    <row r="341">
      <c r="C341" s="12"/>
    </row>
    <row r="342">
      <c r="C342" s="12"/>
    </row>
    <row r="343">
      <c r="C343" s="12"/>
    </row>
    <row r="344">
      <c r="C344" s="12"/>
    </row>
    <row r="345">
      <c r="C345" s="12"/>
    </row>
    <row r="346">
      <c r="C346" s="12"/>
    </row>
    <row r="347">
      <c r="C347" s="12"/>
    </row>
    <row r="348">
      <c r="C348" s="12"/>
    </row>
    <row r="349">
      <c r="C349" s="12"/>
    </row>
    <row r="350">
      <c r="C350" s="12"/>
    </row>
    <row r="351">
      <c r="C351" s="12"/>
    </row>
    <row r="352">
      <c r="C352" s="12"/>
    </row>
    <row r="353">
      <c r="C353" s="12"/>
    </row>
    <row r="354">
      <c r="C354" s="12"/>
    </row>
    <row r="355">
      <c r="C355" s="12"/>
    </row>
    <row r="356">
      <c r="C356" s="12"/>
    </row>
    <row r="357">
      <c r="C357" s="12"/>
    </row>
    <row r="358">
      <c r="C358" s="12"/>
    </row>
    <row r="359">
      <c r="C359" s="12"/>
    </row>
    <row r="360">
      <c r="C360" s="12"/>
    </row>
    <row r="361">
      <c r="C361" s="12"/>
    </row>
    <row r="362">
      <c r="C362" s="12"/>
    </row>
    <row r="363">
      <c r="C363" s="12"/>
    </row>
    <row r="364">
      <c r="C364" s="12"/>
    </row>
    <row r="365">
      <c r="C365" s="12"/>
    </row>
    <row r="366">
      <c r="C366" s="12"/>
    </row>
    <row r="367">
      <c r="C367" s="12"/>
    </row>
    <row r="368">
      <c r="C368" s="12"/>
    </row>
    <row r="369">
      <c r="C369" s="12"/>
    </row>
    <row r="370">
      <c r="C370" s="12"/>
    </row>
    <row r="371">
      <c r="C371" s="12"/>
    </row>
    <row r="372">
      <c r="C372" s="12"/>
    </row>
    <row r="373">
      <c r="C373" s="12"/>
    </row>
    <row r="374">
      <c r="C374" s="12"/>
    </row>
    <row r="375">
      <c r="C375" s="12"/>
    </row>
    <row r="376">
      <c r="C376" s="12"/>
    </row>
    <row r="377">
      <c r="C377" s="12"/>
    </row>
    <row r="378">
      <c r="C378" s="12"/>
    </row>
    <row r="379">
      <c r="C379" s="12"/>
    </row>
    <row r="380">
      <c r="C380" s="12"/>
    </row>
    <row r="381">
      <c r="C381" s="12"/>
    </row>
    <row r="382">
      <c r="C382" s="12"/>
    </row>
    <row r="383">
      <c r="C383" s="12"/>
    </row>
    <row r="384">
      <c r="C384" s="12"/>
    </row>
    <row r="385">
      <c r="C385" s="12"/>
    </row>
    <row r="386">
      <c r="C386" s="12"/>
    </row>
    <row r="387">
      <c r="C387" s="12"/>
    </row>
    <row r="388">
      <c r="C388" s="12"/>
    </row>
    <row r="389">
      <c r="C389" s="12"/>
    </row>
    <row r="390">
      <c r="C390" s="12"/>
    </row>
    <row r="391">
      <c r="C391" s="12"/>
    </row>
    <row r="392">
      <c r="C392" s="12"/>
    </row>
    <row r="393">
      <c r="C393" s="12"/>
    </row>
    <row r="394">
      <c r="C394" s="12"/>
    </row>
    <row r="395">
      <c r="C395" s="12"/>
    </row>
    <row r="396">
      <c r="C396" s="12"/>
    </row>
    <row r="397">
      <c r="C397" s="12"/>
    </row>
    <row r="398">
      <c r="C398" s="12"/>
    </row>
    <row r="399">
      <c r="C399" s="12"/>
    </row>
    <row r="400">
      <c r="C400" s="12"/>
    </row>
    <row r="401">
      <c r="C401" s="12"/>
    </row>
    <row r="402">
      <c r="C402" s="12"/>
    </row>
    <row r="403">
      <c r="C403" s="12"/>
    </row>
    <row r="404">
      <c r="C404" s="12"/>
    </row>
    <row r="405">
      <c r="C405" s="12"/>
    </row>
    <row r="406">
      <c r="C406" s="12"/>
    </row>
    <row r="407">
      <c r="C407" s="12"/>
    </row>
    <row r="408">
      <c r="C408" s="12"/>
    </row>
    <row r="409">
      <c r="C409" s="12"/>
    </row>
    <row r="410">
      <c r="C410" s="12"/>
    </row>
    <row r="411">
      <c r="C411" s="12"/>
    </row>
    <row r="412">
      <c r="C412" s="12"/>
    </row>
    <row r="413">
      <c r="C413" s="12"/>
    </row>
    <row r="414">
      <c r="C414" s="12"/>
    </row>
    <row r="415">
      <c r="C415" s="12"/>
    </row>
    <row r="416">
      <c r="C416" s="12"/>
    </row>
    <row r="417">
      <c r="C417" s="12"/>
    </row>
    <row r="418">
      <c r="C418" s="12"/>
    </row>
    <row r="419">
      <c r="C419" s="12"/>
    </row>
    <row r="420">
      <c r="C420" s="12"/>
    </row>
    <row r="421">
      <c r="C421" s="12"/>
    </row>
    <row r="422">
      <c r="C422" s="12"/>
    </row>
    <row r="423">
      <c r="C423" s="12"/>
    </row>
    <row r="424">
      <c r="C424" s="12"/>
    </row>
    <row r="425">
      <c r="C425" s="12"/>
    </row>
    <row r="426">
      <c r="C426" s="12"/>
    </row>
    <row r="427">
      <c r="C427" s="12"/>
    </row>
    <row r="428">
      <c r="C428" s="12"/>
    </row>
    <row r="429">
      <c r="C429" s="12"/>
    </row>
    <row r="430">
      <c r="C430" s="12"/>
    </row>
    <row r="431">
      <c r="C431" s="12"/>
    </row>
    <row r="432">
      <c r="C432" s="12"/>
    </row>
    <row r="433">
      <c r="C433" s="12"/>
    </row>
    <row r="434">
      <c r="C434" s="12"/>
    </row>
    <row r="435">
      <c r="C435" s="12"/>
    </row>
    <row r="436">
      <c r="C436" s="12"/>
    </row>
    <row r="437">
      <c r="C437" s="12"/>
    </row>
    <row r="438">
      <c r="C438" s="12"/>
    </row>
    <row r="439">
      <c r="C439" s="12"/>
    </row>
    <row r="440">
      <c r="C440" s="12"/>
    </row>
    <row r="441">
      <c r="C441" s="12"/>
    </row>
    <row r="442">
      <c r="C442" s="12"/>
    </row>
    <row r="443">
      <c r="C443" s="12"/>
    </row>
    <row r="444">
      <c r="C444" s="12"/>
    </row>
    <row r="445">
      <c r="C445" s="12"/>
    </row>
    <row r="446">
      <c r="C446" s="12"/>
    </row>
    <row r="447">
      <c r="C447" s="12"/>
    </row>
    <row r="448">
      <c r="C448" s="12"/>
    </row>
    <row r="449">
      <c r="C449" s="12"/>
    </row>
    <row r="450">
      <c r="C450" s="12"/>
    </row>
    <row r="451">
      <c r="C451" s="12"/>
    </row>
    <row r="452">
      <c r="C452" s="12"/>
    </row>
    <row r="453">
      <c r="C453" s="12"/>
    </row>
    <row r="454">
      <c r="C454" s="12"/>
    </row>
    <row r="455">
      <c r="C455" s="12"/>
    </row>
    <row r="456">
      <c r="C456" s="12"/>
    </row>
    <row r="457">
      <c r="C457" s="12"/>
    </row>
    <row r="458">
      <c r="C458" s="12"/>
    </row>
    <row r="459">
      <c r="C459" s="12"/>
    </row>
    <row r="460">
      <c r="C460" s="12"/>
    </row>
    <row r="461">
      <c r="C461" s="12"/>
    </row>
    <row r="462">
      <c r="C462" s="12"/>
    </row>
    <row r="463">
      <c r="C463" s="12"/>
    </row>
    <row r="464">
      <c r="C464" s="12"/>
    </row>
    <row r="465">
      <c r="C465" s="12"/>
    </row>
    <row r="466">
      <c r="C466" s="12"/>
    </row>
    <row r="467">
      <c r="C467" s="12"/>
    </row>
    <row r="468">
      <c r="C468" s="12"/>
    </row>
    <row r="469">
      <c r="C469" s="12"/>
    </row>
    <row r="470">
      <c r="C470" s="12"/>
    </row>
    <row r="471">
      <c r="C471" s="12"/>
    </row>
    <row r="472">
      <c r="C472" s="12"/>
    </row>
    <row r="473">
      <c r="C473" s="12"/>
    </row>
    <row r="474">
      <c r="C474" s="12"/>
    </row>
    <row r="475">
      <c r="C475" s="12"/>
    </row>
    <row r="476">
      <c r="C476" s="12"/>
    </row>
    <row r="477">
      <c r="C477" s="12"/>
    </row>
    <row r="478">
      <c r="C478" s="12"/>
    </row>
    <row r="479">
      <c r="C479" s="12"/>
    </row>
    <row r="480">
      <c r="C480" s="12"/>
    </row>
    <row r="481">
      <c r="C481" s="12"/>
    </row>
    <row r="482">
      <c r="C482" s="12"/>
    </row>
    <row r="483">
      <c r="C483" s="12"/>
    </row>
    <row r="484">
      <c r="C484" s="12"/>
    </row>
    <row r="485">
      <c r="C485" s="12"/>
    </row>
    <row r="486">
      <c r="C486" s="12"/>
    </row>
    <row r="487">
      <c r="C487" s="12"/>
    </row>
    <row r="488">
      <c r="C488" s="12"/>
    </row>
    <row r="489">
      <c r="C489" s="12"/>
    </row>
    <row r="490">
      <c r="C490" s="12"/>
    </row>
    <row r="491">
      <c r="C491" s="12"/>
    </row>
    <row r="492">
      <c r="C492" s="12"/>
    </row>
    <row r="493">
      <c r="C493" s="12"/>
    </row>
    <row r="494">
      <c r="C494" s="12"/>
    </row>
    <row r="495">
      <c r="C495" s="12"/>
    </row>
    <row r="496">
      <c r="C496" s="12"/>
    </row>
    <row r="497">
      <c r="C497" s="12"/>
    </row>
    <row r="498">
      <c r="C498" s="12"/>
    </row>
    <row r="499">
      <c r="C499" s="12"/>
    </row>
    <row r="500">
      <c r="C500" s="12"/>
    </row>
    <row r="501">
      <c r="C501" s="12"/>
    </row>
    <row r="502">
      <c r="C502" s="12"/>
    </row>
    <row r="503">
      <c r="C503" s="12"/>
    </row>
    <row r="504">
      <c r="C504" s="12"/>
    </row>
    <row r="505">
      <c r="C505" s="12"/>
    </row>
    <row r="506">
      <c r="C506" s="12"/>
    </row>
    <row r="507">
      <c r="C507" s="12"/>
    </row>
    <row r="508">
      <c r="C508" s="12"/>
    </row>
    <row r="509">
      <c r="C509" s="12"/>
    </row>
    <row r="510">
      <c r="C510" s="12"/>
    </row>
    <row r="511">
      <c r="C511" s="12"/>
    </row>
    <row r="512">
      <c r="C512" s="12"/>
    </row>
    <row r="513">
      <c r="C513" s="12"/>
    </row>
    <row r="514">
      <c r="C514" s="12"/>
    </row>
    <row r="515">
      <c r="C515" s="12"/>
    </row>
    <row r="516">
      <c r="C516" s="12"/>
    </row>
    <row r="517">
      <c r="C517" s="12"/>
    </row>
    <row r="518">
      <c r="C518" s="12"/>
    </row>
    <row r="519">
      <c r="C519" s="12"/>
    </row>
    <row r="520">
      <c r="C520" s="12"/>
    </row>
    <row r="521">
      <c r="C521" s="12"/>
    </row>
    <row r="522">
      <c r="C522" s="12"/>
    </row>
    <row r="523">
      <c r="C523" s="12"/>
    </row>
    <row r="524">
      <c r="C524" s="12"/>
    </row>
    <row r="525">
      <c r="C525" s="12"/>
    </row>
    <row r="526">
      <c r="C526" s="12"/>
    </row>
    <row r="527">
      <c r="C527" s="12"/>
    </row>
    <row r="528">
      <c r="C528" s="12"/>
    </row>
    <row r="529">
      <c r="C529" s="12"/>
    </row>
    <row r="530">
      <c r="C530" s="12"/>
    </row>
    <row r="531">
      <c r="C531" s="12"/>
    </row>
    <row r="532">
      <c r="C532" s="12"/>
    </row>
    <row r="533">
      <c r="C533" s="12"/>
    </row>
    <row r="534">
      <c r="C534" s="12"/>
    </row>
    <row r="535">
      <c r="C535" s="12"/>
    </row>
    <row r="536">
      <c r="C536" s="12"/>
    </row>
    <row r="537">
      <c r="C537" s="12"/>
    </row>
    <row r="538">
      <c r="C538" s="12"/>
    </row>
    <row r="539">
      <c r="C539" s="12"/>
    </row>
    <row r="540">
      <c r="C540" s="12"/>
    </row>
    <row r="541">
      <c r="C541" s="12"/>
    </row>
    <row r="542">
      <c r="C542" s="12"/>
    </row>
    <row r="543">
      <c r="C543" s="12"/>
    </row>
    <row r="544">
      <c r="C544" s="12"/>
    </row>
    <row r="545">
      <c r="C545" s="12"/>
    </row>
    <row r="546">
      <c r="C546" s="12"/>
    </row>
    <row r="547">
      <c r="C547" s="12"/>
    </row>
    <row r="548">
      <c r="C548" s="12"/>
    </row>
    <row r="549">
      <c r="C549" s="12"/>
    </row>
    <row r="550">
      <c r="C550" s="12"/>
    </row>
    <row r="551">
      <c r="C551" s="12"/>
    </row>
    <row r="552">
      <c r="C552" s="12"/>
    </row>
    <row r="553">
      <c r="C553" s="12"/>
    </row>
    <row r="554">
      <c r="C554" s="12"/>
    </row>
    <row r="555">
      <c r="C555" s="12"/>
    </row>
    <row r="556">
      <c r="C556" s="12"/>
    </row>
    <row r="557">
      <c r="C557" s="12"/>
    </row>
    <row r="558">
      <c r="C558" s="12"/>
    </row>
    <row r="559">
      <c r="C559" s="12"/>
    </row>
    <row r="560">
      <c r="C560" s="12"/>
    </row>
    <row r="561">
      <c r="C561" s="12"/>
    </row>
    <row r="562">
      <c r="C562" s="12"/>
    </row>
    <row r="563">
      <c r="C563" s="12"/>
    </row>
    <row r="564">
      <c r="C564" s="12"/>
    </row>
    <row r="565">
      <c r="C565" s="12"/>
    </row>
    <row r="566">
      <c r="C566" s="12"/>
    </row>
    <row r="567">
      <c r="C567" s="12"/>
    </row>
    <row r="568">
      <c r="C568" s="12"/>
    </row>
    <row r="569">
      <c r="C569" s="12"/>
    </row>
    <row r="570">
      <c r="C570" s="12"/>
    </row>
    <row r="571">
      <c r="C571" s="12"/>
    </row>
    <row r="572">
      <c r="C572" s="12"/>
    </row>
    <row r="573">
      <c r="C573" s="12"/>
    </row>
    <row r="574">
      <c r="C574" s="12"/>
    </row>
    <row r="575">
      <c r="C575" s="12"/>
    </row>
    <row r="576">
      <c r="C576" s="12"/>
    </row>
    <row r="577">
      <c r="C577" s="12"/>
    </row>
    <row r="578">
      <c r="C578" s="12"/>
    </row>
    <row r="579">
      <c r="C579" s="12"/>
    </row>
    <row r="580">
      <c r="C580" s="12"/>
    </row>
    <row r="581">
      <c r="C581" s="12"/>
    </row>
    <row r="582">
      <c r="C582" s="12"/>
    </row>
    <row r="583">
      <c r="C583" s="12"/>
    </row>
    <row r="584">
      <c r="C584" s="12"/>
    </row>
    <row r="585">
      <c r="C585" s="12"/>
    </row>
    <row r="586">
      <c r="C586" s="12"/>
    </row>
    <row r="587">
      <c r="C587" s="12"/>
    </row>
    <row r="588">
      <c r="C588" s="12"/>
    </row>
    <row r="589">
      <c r="C589" s="12"/>
    </row>
    <row r="590">
      <c r="C590" s="12"/>
    </row>
    <row r="591">
      <c r="C591" s="12"/>
    </row>
    <row r="592">
      <c r="C592" s="12"/>
    </row>
    <row r="593">
      <c r="C593" s="12"/>
    </row>
    <row r="594">
      <c r="C594" s="12"/>
    </row>
    <row r="595">
      <c r="C595" s="12"/>
    </row>
    <row r="596">
      <c r="C596" s="12"/>
    </row>
    <row r="597">
      <c r="C597" s="12"/>
    </row>
    <row r="598">
      <c r="C598" s="12"/>
    </row>
    <row r="599">
      <c r="C599" s="12"/>
    </row>
    <row r="600">
      <c r="C600" s="12"/>
    </row>
    <row r="601">
      <c r="C601" s="12"/>
    </row>
    <row r="602">
      <c r="C602" s="12"/>
    </row>
    <row r="603">
      <c r="C603" s="12"/>
    </row>
    <row r="604">
      <c r="C604" s="12"/>
    </row>
    <row r="605">
      <c r="C605" s="12"/>
    </row>
    <row r="606">
      <c r="C606" s="12"/>
    </row>
    <row r="607">
      <c r="C607" s="12"/>
    </row>
    <row r="608">
      <c r="C608" s="12"/>
    </row>
    <row r="609">
      <c r="C609" s="12"/>
    </row>
    <row r="610">
      <c r="C610" s="12"/>
    </row>
    <row r="611">
      <c r="C611" s="12"/>
    </row>
    <row r="612">
      <c r="C612" s="12"/>
    </row>
    <row r="613">
      <c r="C613" s="12"/>
    </row>
    <row r="614">
      <c r="C614" s="12"/>
    </row>
    <row r="615">
      <c r="C615" s="12"/>
    </row>
    <row r="616">
      <c r="C616" s="12"/>
    </row>
    <row r="617">
      <c r="C617" s="12"/>
    </row>
    <row r="618">
      <c r="C618" s="12"/>
    </row>
    <row r="619">
      <c r="C619" s="12"/>
    </row>
    <row r="620">
      <c r="C620" s="12"/>
    </row>
    <row r="621">
      <c r="C621" s="12"/>
    </row>
    <row r="622">
      <c r="C622" s="12"/>
    </row>
    <row r="623">
      <c r="C623" s="12"/>
    </row>
    <row r="624">
      <c r="C624" s="12"/>
    </row>
    <row r="625">
      <c r="C625" s="12"/>
    </row>
    <row r="626">
      <c r="C626" s="12"/>
    </row>
    <row r="627">
      <c r="C627" s="12"/>
    </row>
    <row r="628">
      <c r="C628" s="12"/>
    </row>
    <row r="629">
      <c r="C629" s="12"/>
    </row>
    <row r="630">
      <c r="C630" s="12"/>
    </row>
    <row r="631">
      <c r="C631" s="12"/>
    </row>
    <row r="632">
      <c r="C632" s="12"/>
    </row>
    <row r="633">
      <c r="C633" s="12"/>
    </row>
    <row r="634">
      <c r="C634" s="12"/>
    </row>
    <row r="635">
      <c r="C635" s="12"/>
    </row>
    <row r="636">
      <c r="C636" s="12"/>
    </row>
    <row r="637">
      <c r="C637" s="12"/>
    </row>
    <row r="638">
      <c r="C638" s="12"/>
    </row>
    <row r="639">
      <c r="C639" s="12"/>
    </row>
    <row r="640">
      <c r="C640" s="12"/>
    </row>
    <row r="641">
      <c r="C641" s="12"/>
    </row>
    <row r="642">
      <c r="C642" s="12"/>
    </row>
    <row r="643">
      <c r="C643" s="12"/>
    </row>
    <row r="644">
      <c r="C644" s="12"/>
    </row>
    <row r="645">
      <c r="C645" s="12"/>
    </row>
    <row r="646">
      <c r="C646" s="12"/>
    </row>
    <row r="647">
      <c r="C647" s="12"/>
    </row>
    <row r="648">
      <c r="C648" s="12"/>
    </row>
    <row r="649">
      <c r="C649" s="12"/>
    </row>
    <row r="650">
      <c r="C650" s="12"/>
    </row>
    <row r="651">
      <c r="C651" s="12"/>
    </row>
    <row r="652">
      <c r="C652" s="12"/>
    </row>
    <row r="653">
      <c r="C653" s="12"/>
    </row>
    <row r="654">
      <c r="C654" s="12"/>
    </row>
    <row r="655">
      <c r="C655" s="12"/>
    </row>
    <row r="656">
      <c r="C656" s="12"/>
    </row>
    <row r="657">
      <c r="C657" s="12"/>
    </row>
    <row r="658">
      <c r="C658" s="12"/>
    </row>
    <row r="659">
      <c r="C659" s="12"/>
    </row>
    <row r="660">
      <c r="C660" s="12"/>
    </row>
    <row r="661">
      <c r="C661" s="12"/>
    </row>
    <row r="662">
      <c r="C662" s="12"/>
    </row>
    <row r="663">
      <c r="C663" s="12"/>
    </row>
    <row r="664">
      <c r="C664" s="12"/>
    </row>
    <row r="665">
      <c r="C665" s="12"/>
    </row>
    <row r="666">
      <c r="C666" s="12"/>
    </row>
    <row r="667">
      <c r="C667" s="12"/>
    </row>
    <row r="668">
      <c r="C668" s="12"/>
    </row>
    <row r="669">
      <c r="C669" s="12"/>
    </row>
    <row r="670">
      <c r="C670" s="12"/>
    </row>
    <row r="671">
      <c r="C671" s="12"/>
    </row>
    <row r="672">
      <c r="C672" s="12"/>
    </row>
    <row r="673">
      <c r="C673" s="12"/>
    </row>
    <row r="674">
      <c r="C674" s="12"/>
    </row>
    <row r="675">
      <c r="C675" s="12"/>
    </row>
    <row r="676">
      <c r="C676" s="12"/>
    </row>
    <row r="677">
      <c r="C677" s="12"/>
    </row>
    <row r="678">
      <c r="C678" s="12"/>
    </row>
    <row r="679">
      <c r="C679" s="12"/>
    </row>
    <row r="680">
      <c r="C680" s="12"/>
    </row>
    <row r="681">
      <c r="C681" s="12"/>
    </row>
    <row r="682">
      <c r="C682" s="12"/>
    </row>
    <row r="683">
      <c r="C683" s="12"/>
    </row>
    <row r="684">
      <c r="C684" s="12"/>
    </row>
    <row r="685">
      <c r="C685" s="12"/>
    </row>
    <row r="686">
      <c r="C686" s="12"/>
    </row>
    <row r="687">
      <c r="C687" s="12"/>
    </row>
    <row r="688">
      <c r="C688" s="12"/>
    </row>
    <row r="689">
      <c r="C689" s="12"/>
    </row>
    <row r="690">
      <c r="C690" s="12"/>
    </row>
    <row r="691">
      <c r="C691" s="12"/>
    </row>
    <row r="692">
      <c r="C692" s="12"/>
    </row>
    <row r="693">
      <c r="C693" s="12"/>
    </row>
    <row r="694">
      <c r="C694" s="12"/>
    </row>
    <row r="695">
      <c r="C695" s="12"/>
    </row>
    <row r="696">
      <c r="C696" s="12"/>
    </row>
    <row r="697">
      <c r="C697" s="12"/>
    </row>
    <row r="698">
      <c r="C698" s="12"/>
    </row>
    <row r="699">
      <c r="C699" s="12"/>
    </row>
    <row r="700">
      <c r="C700" s="12"/>
    </row>
    <row r="701">
      <c r="C701" s="12"/>
    </row>
    <row r="702">
      <c r="C702" s="12"/>
    </row>
    <row r="703">
      <c r="C703" s="12"/>
    </row>
    <row r="704">
      <c r="C704" s="12"/>
    </row>
    <row r="705">
      <c r="C705" s="12"/>
    </row>
    <row r="706">
      <c r="C706" s="12"/>
    </row>
    <row r="707">
      <c r="C707" s="12"/>
    </row>
    <row r="708">
      <c r="C708" s="12"/>
    </row>
    <row r="709">
      <c r="C709" s="12"/>
    </row>
    <row r="710">
      <c r="C710" s="12"/>
    </row>
    <row r="711">
      <c r="C711" s="12"/>
    </row>
    <row r="712">
      <c r="C712" s="12"/>
    </row>
    <row r="713">
      <c r="C713" s="12"/>
    </row>
    <row r="714">
      <c r="C714" s="12"/>
    </row>
    <row r="715">
      <c r="C715" s="12"/>
    </row>
    <row r="716">
      <c r="C716" s="12"/>
    </row>
    <row r="717">
      <c r="C717" s="12"/>
    </row>
    <row r="718">
      <c r="C718" s="12"/>
    </row>
    <row r="719">
      <c r="C719" s="12"/>
    </row>
    <row r="720">
      <c r="C720" s="12"/>
    </row>
    <row r="721">
      <c r="C721" s="12"/>
    </row>
    <row r="722">
      <c r="C722" s="12"/>
    </row>
    <row r="723">
      <c r="C723" s="12"/>
    </row>
    <row r="724">
      <c r="C724" s="12"/>
    </row>
    <row r="725">
      <c r="C725" s="12"/>
    </row>
    <row r="726">
      <c r="C726" s="12"/>
    </row>
    <row r="727">
      <c r="C727" s="12"/>
    </row>
    <row r="728">
      <c r="C728" s="12"/>
    </row>
    <row r="729">
      <c r="C729" s="12"/>
    </row>
    <row r="730">
      <c r="C730" s="12"/>
    </row>
    <row r="731">
      <c r="C731" s="12"/>
    </row>
    <row r="732">
      <c r="C732" s="12"/>
    </row>
    <row r="733">
      <c r="C733" s="12"/>
    </row>
    <row r="734">
      <c r="C734" s="12"/>
    </row>
    <row r="735">
      <c r="C735" s="12"/>
    </row>
    <row r="736">
      <c r="C736" s="12"/>
    </row>
    <row r="737">
      <c r="C737" s="12"/>
    </row>
    <row r="738">
      <c r="C738" s="12"/>
    </row>
    <row r="739">
      <c r="C739" s="12"/>
    </row>
    <row r="740">
      <c r="C740" s="12"/>
    </row>
    <row r="741">
      <c r="C741" s="12"/>
    </row>
    <row r="742">
      <c r="C742" s="12"/>
    </row>
    <row r="743">
      <c r="C743" s="12"/>
    </row>
    <row r="744">
      <c r="C744" s="12"/>
    </row>
    <row r="745">
      <c r="C745" s="12"/>
    </row>
    <row r="746">
      <c r="C746" s="12"/>
    </row>
    <row r="747">
      <c r="C747" s="12"/>
    </row>
    <row r="748">
      <c r="C748" s="12"/>
    </row>
    <row r="749">
      <c r="C749" s="12"/>
    </row>
    <row r="750">
      <c r="C750" s="12"/>
    </row>
    <row r="751">
      <c r="C751" s="12"/>
    </row>
    <row r="752">
      <c r="C752" s="12"/>
    </row>
    <row r="753">
      <c r="C753" s="12"/>
    </row>
    <row r="754">
      <c r="C754" s="12"/>
    </row>
    <row r="755">
      <c r="C755" s="12"/>
    </row>
    <row r="756">
      <c r="C756" s="12"/>
    </row>
    <row r="757">
      <c r="C757" s="12"/>
    </row>
    <row r="758">
      <c r="C758" s="12"/>
    </row>
    <row r="759">
      <c r="C759" s="12"/>
    </row>
    <row r="760">
      <c r="C760" s="12"/>
    </row>
    <row r="761">
      <c r="C761" s="12"/>
    </row>
    <row r="762">
      <c r="C762" s="12"/>
    </row>
    <row r="763">
      <c r="C763" s="12"/>
    </row>
    <row r="764">
      <c r="C764" s="12"/>
    </row>
    <row r="765">
      <c r="C765" s="12"/>
    </row>
    <row r="766">
      <c r="C766" s="12"/>
    </row>
    <row r="767">
      <c r="C767" s="12"/>
    </row>
    <row r="768">
      <c r="C768" s="12"/>
    </row>
    <row r="769">
      <c r="C769" s="12"/>
    </row>
    <row r="770">
      <c r="C770" s="12"/>
    </row>
    <row r="771">
      <c r="C771" s="12"/>
    </row>
    <row r="772">
      <c r="C772" s="12"/>
    </row>
    <row r="773">
      <c r="C773" s="12"/>
    </row>
    <row r="774">
      <c r="C774" s="12"/>
    </row>
    <row r="775">
      <c r="C775" s="12"/>
    </row>
    <row r="776">
      <c r="C776" s="12"/>
    </row>
    <row r="777">
      <c r="C777" s="12"/>
    </row>
    <row r="778">
      <c r="C778" s="12"/>
    </row>
    <row r="779">
      <c r="C779" s="12"/>
    </row>
    <row r="780">
      <c r="C780" s="12"/>
    </row>
    <row r="781">
      <c r="C781" s="12"/>
    </row>
    <row r="782">
      <c r="C782" s="12"/>
    </row>
    <row r="783">
      <c r="C783" s="12"/>
    </row>
    <row r="784">
      <c r="C784" s="12"/>
    </row>
    <row r="785">
      <c r="C785" s="12"/>
    </row>
    <row r="786">
      <c r="C786" s="12"/>
    </row>
    <row r="787">
      <c r="C787" s="12"/>
    </row>
    <row r="788">
      <c r="C788" s="12"/>
    </row>
    <row r="789">
      <c r="C789" s="12"/>
    </row>
    <row r="790">
      <c r="C790" s="12"/>
    </row>
    <row r="791">
      <c r="C791" s="12"/>
    </row>
    <row r="792">
      <c r="C792" s="12"/>
    </row>
    <row r="793">
      <c r="C793" s="12"/>
    </row>
    <row r="794">
      <c r="C794" s="12"/>
    </row>
    <row r="795">
      <c r="C795" s="12"/>
    </row>
    <row r="796">
      <c r="C796" s="12"/>
    </row>
    <row r="797">
      <c r="C797" s="12"/>
    </row>
    <row r="798">
      <c r="C798" s="12"/>
    </row>
    <row r="799">
      <c r="C799" s="12"/>
    </row>
    <row r="800">
      <c r="C800" s="12"/>
    </row>
    <row r="801">
      <c r="C801" s="12"/>
    </row>
    <row r="802">
      <c r="C802" s="12"/>
    </row>
    <row r="803">
      <c r="C803" s="12"/>
    </row>
    <row r="804">
      <c r="C804" s="12"/>
    </row>
    <row r="805">
      <c r="C805" s="12"/>
    </row>
    <row r="806">
      <c r="C806" s="12"/>
    </row>
    <row r="807">
      <c r="C807" s="12"/>
    </row>
    <row r="808">
      <c r="C808" s="12"/>
    </row>
    <row r="809">
      <c r="C809" s="12"/>
    </row>
    <row r="810">
      <c r="C810" s="12"/>
    </row>
    <row r="811">
      <c r="C811" s="12"/>
    </row>
    <row r="812">
      <c r="C812" s="12"/>
    </row>
    <row r="813">
      <c r="C813" s="12"/>
    </row>
    <row r="814">
      <c r="C814" s="12"/>
    </row>
    <row r="815">
      <c r="C815" s="12"/>
    </row>
    <row r="816">
      <c r="C816" s="12"/>
    </row>
    <row r="817">
      <c r="C817" s="12"/>
    </row>
    <row r="818">
      <c r="C818" s="12"/>
    </row>
    <row r="819">
      <c r="C819" s="12"/>
    </row>
    <row r="820">
      <c r="C820" s="12"/>
    </row>
    <row r="821">
      <c r="C821" s="12"/>
    </row>
    <row r="822">
      <c r="C822" s="12"/>
    </row>
    <row r="823">
      <c r="C823" s="12"/>
    </row>
    <row r="824">
      <c r="C824" s="12"/>
    </row>
    <row r="825">
      <c r="C825" s="12"/>
    </row>
    <row r="826">
      <c r="C826" s="12"/>
    </row>
    <row r="827">
      <c r="C827" s="12"/>
    </row>
    <row r="828">
      <c r="C828" s="12"/>
    </row>
    <row r="829">
      <c r="C829" s="12"/>
    </row>
    <row r="830">
      <c r="C830" s="12"/>
    </row>
    <row r="831">
      <c r="C831" s="12"/>
    </row>
    <row r="832">
      <c r="C832" s="12"/>
    </row>
    <row r="833">
      <c r="C833" s="12"/>
    </row>
    <row r="834">
      <c r="C834" s="12"/>
    </row>
    <row r="835">
      <c r="C835" s="12"/>
    </row>
    <row r="836">
      <c r="C836" s="12"/>
    </row>
    <row r="837">
      <c r="C837" s="12"/>
    </row>
    <row r="838">
      <c r="C838" s="12"/>
    </row>
    <row r="839">
      <c r="C839" s="12"/>
    </row>
    <row r="840">
      <c r="C840" s="12"/>
    </row>
    <row r="841">
      <c r="C841" s="12"/>
    </row>
    <row r="842">
      <c r="C842" s="12"/>
    </row>
    <row r="843">
      <c r="C843" s="12"/>
    </row>
    <row r="844">
      <c r="C844" s="12"/>
    </row>
    <row r="845">
      <c r="C845" s="12"/>
    </row>
    <row r="846">
      <c r="C846" s="12"/>
    </row>
    <row r="847">
      <c r="C847" s="12"/>
    </row>
    <row r="848">
      <c r="C848" s="12"/>
    </row>
    <row r="849">
      <c r="C849" s="12"/>
    </row>
    <row r="850">
      <c r="C850" s="12"/>
    </row>
    <row r="851">
      <c r="C851" s="12"/>
    </row>
    <row r="852">
      <c r="C852" s="12"/>
    </row>
    <row r="853">
      <c r="C853" s="12"/>
    </row>
    <row r="854">
      <c r="C854" s="12"/>
    </row>
    <row r="855">
      <c r="C855" s="12"/>
    </row>
    <row r="856">
      <c r="C856" s="12"/>
    </row>
    <row r="857">
      <c r="C857" s="12"/>
    </row>
    <row r="858">
      <c r="C858" s="12"/>
    </row>
    <row r="859">
      <c r="C859" s="12"/>
    </row>
    <row r="860">
      <c r="C860" s="12"/>
    </row>
    <row r="861">
      <c r="C861" s="12"/>
    </row>
    <row r="862">
      <c r="C862" s="12"/>
    </row>
    <row r="863">
      <c r="C863" s="12"/>
    </row>
    <row r="864">
      <c r="C864" s="12"/>
    </row>
    <row r="865">
      <c r="C865" s="12"/>
    </row>
    <row r="866">
      <c r="C866" s="12"/>
    </row>
    <row r="867">
      <c r="C867" s="12"/>
    </row>
    <row r="868">
      <c r="C868" s="12"/>
    </row>
    <row r="869">
      <c r="C869" s="12"/>
    </row>
    <row r="870">
      <c r="C870" s="12"/>
    </row>
    <row r="871">
      <c r="C871" s="12"/>
    </row>
    <row r="872">
      <c r="C872" s="12"/>
    </row>
    <row r="873">
      <c r="C873" s="12"/>
    </row>
    <row r="874">
      <c r="C874" s="12"/>
    </row>
    <row r="875">
      <c r="C875" s="12"/>
    </row>
    <row r="876">
      <c r="C876" s="12"/>
    </row>
    <row r="877">
      <c r="C877" s="12"/>
    </row>
    <row r="878">
      <c r="C878" s="12"/>
    </row>
    <row r="879">
      <c r="C879" s="12"/>
    </row>
    <row r="880">
      <c r="C880" s="12"/>
    </row>
    <row r="881">
      <c r="C881" s="12"/>
    </row>
    <row r="882">
      <c r="C882" s="12"/>
    </row>
    <row r="883">
      <c r="C883" s="12"/>
    </row>
    <row r="884">
      <c r="C884" s="12"/>
    </row>
    <row r="885">
      <c r="C885" s="12"/>
    </row>
    <row r="886">
      <c r="C886" s="12"/>
    </row>
    <row r="887">
      <c r="C887" s="12"/>
    </row>
    <row r="888">
      <c r="C888" s="12"/>
    </row>
    <row r="889">
      <c r="C889" s="12"/>
    </row>
    <row r="890">
      <c r="C890" s="12"/>
    </row>
    <row r="891">
      <c r="C891" s="12"/>
    </row>
    <row r="892">
      <c r="C892" s="12"/>
    </row>
    <row r="893">
      <c r="C893" s="12"/>
    </row>
    <row r="894">
      <c r="C894" s="12"/>
    </row>
    <row r="895">
      <c r="C895" s="12"/>
    </row>
    <row r="896">
      <c r="C896" s="12"/>
    </row>
    <row r="897">
      <c r="C897" s="12"/>
    </row>
    <row r="898">
      <c r="C898" s="12"/>
    </row>
    <row r="899">
      <c r="C899" s="12"/>
    </row>
    <row r="900">
      <c r="C900" s="12"/>
    </row>
    <row r="901">
      <c r="C901" s="12"/>
    </row>
    <row r="902">
      <c r="C902" s="12"/>
    </row>
    <row r="903">
      <c r="C903" s="12"/>
    </row>
    <row r="904">
      <c r="C904" s="12"/>
    </row>
    <row r="905">
      <c r="C905" s="12"/>
    </row>
    <row r="906">
      <c r="C906" s="12"/>
    </row>
    <row r="907">
      <c r="C907" s="12"/>
    </row>
    <row r="908">
      <c r="C908" s="12"/>
    </row>
    <row r="909">
      <c r="C909" s="12"/>
    </row>
    <row r="910">
      <c r="C910" s="12"/>
    </row>
    <row r="911">
      <c r="C911" s="12"/>
    </row>
    <row r="912">
      <c r="C912" s="12"/>
    </row>
    <row r="913">
      <c r="C913" s="12"/>
    </row>
    <row r="914">
      <c r="C914" s="12"/>
    </row>
    <row r="915">
      <c r="C915" s="12"/>
    </row>
    <row r="916">
      <c r="C916" s="12"/>
    </row>
    <row r="917">
      <c r="C917" s="12"/>
    </row>
    <row r="918">
      <c r="C918" s="12"/>
    </row>
    <row r="919">
      <c r="C919" s="12"/>
    </row>
    <row r="920">
      <c r="C920" s="12"/>
    </row>
    <row r="921">
      <c r="C921" s="12"/>
    </row>
    <row r="922">
      <c r="C922" s="12"/>
    </row>
    <row r="923">
      <c r="C923" s="12"/>
    </row>
    <row r="924">
      <c r="C924" s="12"/>
    </row>
    <row r="925">
      <c r="C925" s="12"/>
    </row>
    <row r="926">
      <c r="C926" s="12"/>
    </row>
    <row r="927">
      <c r="C927" s="12"/>
    </row>
    <row r="928">
      <c r="C928" s="12"/>
    </row>
    <row r="929">
      <c r="C929" s="12"/>
    </row>
    <row r="930">
      <c r="C930" s="12"/>
    </row>
    <row r="931">
      <c r="C931" s="12"/>
    </row>
    <row r="932">
      <c r="C932" s="12"/>
    </row>
    <row r="933">
      <c r="C933" s="12"/>
    </row>
    <row r="934">
      <c r="C934" s="12"/>
    </row>
    <row r="935">
      <c r="C935" s="12"/>
    </row>
    <row r="936">
      <c r="C936" s="12"/>
    </row>
    <row r="937">
      <c r="C937" s="12"/>
    </row>
    <row r="938">
      <c r="C938" s="12"/>
    </row>
    <row r="939">
      <c r="C939" s="12"/>
    </row>
    <row r="940">
      <c r="C940" s="12"/>
    </row>
    <row r="941">
      <c r="C941" s="12"/>
    </row>
    <row r="942">
      <c r="C942" s="12"/>
    </row>
    <row r="943">
      <c r="C943" s="12"/>
    </row>
    <row r="944">
      <c r="C944" s="12"/>
    </row>
    <row r="945">
      <c r="C945" s="12"/>
    </row>
    <row r="946">
      <c r="C946" s="12"/>
    </row>
    <row r="947">
      <c r="C947" s="12"/>
    </row>
    <row r="948">
      <c r="C948" s="12"/>
    </row>
    <row r="949">
      <c r="C949" s="12"/>
    </row>
    <row r="950">
      <c r="C950" s="12"/>
    </row>
    <row r="951">
      <c r="C951" s="12"/>
    </row>
    <row r="952">
      <c r="C952" s="12"/>
    </row>
    <row r="953">
      <c r="C953" s="12"/>
    </row>
    <row r="954">
      <c r="C954" s="12"/>
    </row>
    <row r="955">
      <c r="C955" s="12"/>
    </row>
    <row r="956">
      <c r="C956" s="12"/>
    </row>
    <row r="957">
      <c r="C957" s="12"/>
    </row>
    <row r="958">
      <c r="C958" s="12"/>
    </row>
    <row r="959">
      <c r="C959" s="12"/>
    </row>
    <row r="960">
      <c r="C960" s="12"/>
    </row>
    <row r="961">
      <c r="C961" s="12"/>
    </row>
    <row r="962">
      <c r="C962" s="12"/>
    </row>
    <row r="963">
      <c r="C963" s="12"/>
    </row>
    <row r="964">
      <c r="C964" s="12"/>
    </row>
    <row r="965">
      <c r="C965" s="12"/>
    </row>
    <row r="966">
      <c r="C966" s="12"/>
    </row>
    <row r="967">
      <c r="C967" s="12"/>
    </row>
    <row r="968">
      <c r="C968" s="12"/>
    </row>
    <row r="969">
      <c r="C969" s="12"/>
    </row>
    <row r="970">
      <c r="C970" s="12"/>
    </row>
    <row r="971">
      <c r="C971" s="12"/>
    </row>
    <row r="972">
      <c r="C972" s="12"/>
    </row>
    <row r="973">
      <c r="C973" s="12"/>
    </row>
    <row r="974">
      <c r="C974" s="12"/>
    </row>
    <row r="975">
      <c r="C975" s="12"/>
    </row>
    <row r="976">
      <c r="C976" s="12"/>
    </row>
    <row r="977">
      <c r="C977" s="12"/>
    </row>
    <row r="978">
      <c r="C978" s="12"/>
    </row>
    <row r="979">
      <c r="C979" s="12"/>
    </row>
    <row r="980">
      <c r="C980" s="12"/>
    </row>
    <row r="981">
      <c r="C981" s="12"/>
    </row>
    <row r="982">
      <c r="C982" s="12"/>
    </row>
    <row r="983">
      <c r="C983" s="12"/>
    </row>
    <row r="984">
      <c r="C984" s="12"/>
    </row>
    <row r="985">
      <c r="C985" s="12"/>
    </row>
    <row r="986">
      <c r="C986" s="12"/>
    </row>
    <row r="987">
      <c r="C987" s="12"/>
    </row>
    <row r="988">
      <c r="C988" s="12"/>
    </row>
    <row r="989">
      <c r="C989" s="12"/>
    </row>
    <row r="990">
      <c r="C990" s="12"/>
    </row>
    <row r="991">
      <c r="C991" s="12"/>
    </row>
    <row r="992">
      <c r="C992" s="12"/>
    </row>
    <row r="993">
      <c r="C993" s="12"/>
    </row>
    <row r="994">
      <c r="C994" s="12"/>
    </row>
    <row r="995">
      <c r="C995" s="12"/>
    </row>
    <row r="996">
      <c r="C996" s="12"/>
    </row>
    <row r="997">
      <c r="C997" s="12"/>
    </row>
    <row r="998">
      <c r="C998" s="12"/>
    </row>
    <row r="999">
      <c r="C999" s="12"/>
    </row>
    <row r="1000">
      <c r="C1000" s="12"/>
    </row>
  </sheetData>
  <hyperlinks>
    <hyperlink r:id="rId1" ref="B3"/>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s>
  <sheetData>
    <row r="1">
      <c r="B1" s="6">
        <v>1.0</v>
      </c>
      <c r="C1" s="6">
        <v>2.0</v>
      </c>
      <c r="D1" s="6">
        <v>3.0</v>
      </c>
    </row>
    <row r="2">
      <c r="A2" s="4" t="s">
        <v>227</v>
      </c>
      <c r="B2" s="4" t="s">
        <v>546</v>
      </c>
      <c r="C2" s="4" t="s">
        <v>547</v>
      </c>
      <c r="D2" s="4" t="s">
        <v>548</v>
      </c>
    </row>
    <row r="3">
      <c r="A3" s="4" t="s">
        <v>230</v>
      </c>
      <c r="B3" s="4" t="s">
        <v>547</v>
      </c>
      <c r="C3" s="4" t="s">
        <v>546</v>
      </c>
      <c r="D3" s="4" t="s">
        <v>548</v>
      </c>
    </row>
    <row r="4">
      <c r="A4" s="4" t="s">
        <v>150</v>
      </c>
      <c r="B4" s="4" t="s">
        <v>546</v>
      </c>
      <c r="C4" s="4" t="s">
        <v>548</v>
      </c>
      <c r="D4" s="4" t="s">
        <v>547</v>
      </c>
    </row>
    <row r="5">
      <c r="A5" s="4" t="s">
        <v>45</v>
      </c>
      <c r="B5" s="4" t="s">
        <v>546</v>
      </c>
      <c r="C5" s="4" t="s">
        <v>547</v>
      </c>
      <c r="D5" s="4" t="s">
        <v>548</v>
      </c>
    </row>
    <row r="6">
      <c r="A6" s="4" t="s">
        <v>37</v>
      </c>
      <c r="B6" s="4" t="s">
        <v>547</v>
      </c>
    </row>
    <row r="7">
      <c r="A7" s="4" t="s">
        <v>49</v>
      </c>
      <c r="B7" s="4" t="s">
        <v>547</v>
      </c>
      <c r="C7" s="4" t="s">
        <v>546</v>
      </c>
      <c r="D7" s="4" t="s">
        <v>548</v>
      </c>
    </row>
    <row r="8">
      <c r="A8" s="4" t="s">
        <v>41</v>
      </c>
      <c r="B8" s="4" t="s">
        <v>546</v>
      </c>
      <c r="C8" s="4" t="s">
        <v>547</v>
      </c>
      <c r="D8" s="4" t="s">
        <v>548</v>
      </c>
    </row>
    <row r="9">
      <c r="A9" s="4" t="s">
        <v>34</v>
      </c>
      <c r="B9" s="4" t="s">
        <v>547</v>
      </c>
      <c r="C9" s="4" t="s">
        <v>546</v>
      </c>
      <c r="D9" s="4" t="s">
        <v>548</v>
      </c>
    </row>
    <row r="10">
      <c r="A10" s="4" t="s">
        <v>512</v>
      </c>
      <c r="B10" s="4" t="s">
        <v>547</v>
      </c>
    </row>
    <row r="11">
      <c r="A11" s="4" t="s">
        <v>24</v>
      </c>
      <c r="B11" s="4" t="s">
        <v>546</v>
      </c>
      <c r="C11" s="4" t="s">
        <v>548</v>
      </c>
      <c r="D11" s="4" t="s">
        <v>547</v>
      </c>
      <c r="E11" s="4" t="s">
        <v>549</v>
      </c>
    </row>
    <row r="12">
      <c r="A12" s="4" t="s">
        <v>57</v>
      </c>
      <c r="B12" s="4" t="s">
        <v>546</v>
      </c>
      <c r="C12" s="4" t="s">
        <v>548</v>
      </c>
      <c r="D12" s="4" t="s">
        <v>547</v>
      </c>
    </row>
    <row r="13">
      <c r="A13" s="4" t="s">
        <v>173</v>
      </c>
      <c r="B13" s="4" t="s">
        <v>547</v>
      </c>
    </row>
    <row r="14">
      <c r="A14" s="4" t="s">
        <v>5</v>
      </c>
      <c r="B14" s="4" t="s">
        <v>546</v>
      </c>
      <c r="C14" s="4" t="s">
        <v>547</v>
      </c>
      <c r="D14" s="4" t="s">
        <v>548</v>
      </c>
    </row>
    <row r="15">
      <c r="A15" s="4" t="s">
        <v>175</v>
      </c>
      <c r="B15" s="4" t="s">
        <v>546</v>
      </c>
      <c r="C15" s="4" t="s">
        <v>547</v>
      </c>
      <c r="D15" s="4" t="s">
        <v>548</v>
      </c>
    </row>
    <row r="16">
      <c r="A16" s="4" t="s">
        <v>207</v>
      </c>
      <c r="B16" s="4" t="s">
        <v>546</v>
      </c>
      <c r="C16" s="4" t="s">
        <v>547</v>
      </c>
      <c r="D16" s="4" t="s">
        <v>548</v>
      </c>
    </row>
    <row r="18">
      <c r="A18" s="4" t="s">
        <v>550</v>
      </c>
      <c r="B18" s="26">
        <f>(9/15)*100</f>
        <v>60</v>
      </c>
    </row>
    <row r="19">
      <c r="A19" s="4" t="s">
        <v>551</v>
      </c>
      <c r="B19" s="26">
        <f>(6/15)*100</f>
        <v>40</v>
      </c>
    </row>
    <row r="20">
      <c r="A20" s="4" t="s">
        <v>552</v>
      </c>
      <c r="B20" s="4">
        <v>0.0</v>
      </c>
    </row>
    <row r="22">
      <c r="A22" s="4" t="s">
        <v>553</v>
      </c>
      <c r="B22" s="27">
        <f>(3/12)*100</f>
        <v>25</v>
      </c>
    </row>
    <row r="23">
      <c r="A23" s="4" t="s">
        <v>554</v>
      </c>
      <c r="B23" s="26">
        <f>(6/12)*100</f>
        <v>50</v>
      </c>
    </row>
    <row r="24">
      <c r="A24" s="4" t="s">
        <v>555</v>
      </c>
      <c r="B24" s="26">
        <f>(3/12)*100</f>
        <v>25</v>
      </c>
    </row>
    <row r="26">
      <c r="A26" s="4" t="s">
        <v>556</v>
      </c>
      <c r="B26" s="4">
        <v>0.0</v>
      </c>
    </row>
    <row r="27">
      <c r="A27" s="4" t="s">
        <v>557</v>
      </c>
      <c r="B27" s="26">
        <f>(3/12)*100</f>
        <v>25</v>
      </c>
    </row>
    <row r="28">
      <c r="A28" s="4" t="s">
        <v>558</v>
      </c>
      <c r="B28" s="26">
        <f>(9/12)*100</f>
        <v>75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38"/>
  </cols>
  <sheetData>
    <row r="1">
      <c r="A1" s="28" t="s">
        <v>559</v>
      </c>
      <c r="B1" s="29" t="s">
        <v>560</v>
      </c>
      <c r="C1" s="30">
        <f>SUM(C2:C8)</f>
        <v>60</v>
      </c>
    </row>
    <row r="2">
      <c r="A2" s="28" t="s">
        <v>561</v>
      </c>
      <c r="B2" s="28" t="s">
        <v>562</v>
      </c>
      <c r="C2" s="31">
        <v>2.0</v>
      </c>
      <c r="D2" s="32">
        <f>(C2/C1)*100</f>
        <v>3.333333333</v>
      </c>
    </row>
    <row r="3">
      <c r="A3" s="28" t="s">
        <v>561</v>
      </c>
      <c r="B3" s="28" t="s">
        <v>563</v>
      </c>
      <c r="C3" s="31">
        <v>2.0</v>
      </c>
      <c r="D3" s="32">
        <f>(C3/C1)*100</f>
        <v>3.333333333</v>
      </c>
    </row>
    <row r="4">
      <c r="A4" s="28" t="s">
        <v>561</v>
      </c>
      <c r="B4" s="28" t="s">
        <v>564</v>
      </c>
      <c r="C4" s="31">
        <v>5.0</v>
      </c>
      <c r="D4" s="32">
        <f>(C4/C1)*100</f>
        <v>8.333333333</v>
      </c>
    </row>
    <row r="5">
      <c r="A5" s="28" t="s">
        <v>561</v>
      </c>
      <c r="B5" s="28" t="s">
        <v>565</v>
      </c>
      <c r="C5" s="31">
        <v>3.0</v>
      </c>
      <c r="D5" s="32">
        <f>(C5/C1)*100</f>
        <v>5</v>
      </c>
    </row>
    <row r="6">
      <c r="A6" s="28" t="s">
        <v>561</v>
      </c>
      <c r="B6" s="28" t="s">
        <v>566</v>
      </c>
      <c r="C6" s="31">
        <v>18.0</v>
      </c>
      <c r="D6" s="32">
        <f>(C6/C1)*100</f>
        <v>30</v>
      </c>
    </row>
    <row r="7">
      <c r="A7" s="28" t="s">
        <v>561</v>
      </c>
      <c r="B7" s="28" t="s">
        <v>567</v>
      </c>
      <c r="C7" s="31">
        <v>11.0</v>
      </c>
      <c r="D7" s="32">
        <f>(C7/C1)*100</f>
        <v>18.33333333</v>
      </c>
    </row>
    <row r="8">
      <c r="A8" s="33" t="s">
        <v>561</v>
      </c>
      <c r="B8" s="28" t="s">
        <v>568</v>
      </c>
      <c r="C8" s="34">
        <v>19.0</v>
      </c>
      <c r="D8" s="32">
        <f>(C8/C1)*100</f>
        <v>31.66666667</v>
      </c>
    </row>
    <row r="9">
      <c r="A9" s="28"/>
      <c r="B9" s="29"/>
      <c r="C9" s="30"/>
    </row>
    <row r="10">
      <c r="A10" s="28" t="s">
        <v>559</v>
      </c>
      <c r="B10" s="29" t="s">
        <v>569</v>
      </c>
      <c r="C10" s="30">
        <f>SUM(C12:C14,C16:C20,C21,C27:C30)</f>
        <v>208</v>
      </c>
    </row>
    <row r="11">
      <c r="A11" s="28" t="s">
        <v>561</v>
      </c>
      <c r="B11" s="35" t="s">
        <v>570</v>
      </c>
      <c r="C11" s="36">
        <f>SUM(C12:C14)</f>
        <v>20</v>
      </c>
      <c r="D11" s="32">
        <f>(C11/C10)*100</f>
        <v>9.615384615</v>
      </c>
    </row>
    <row r="12">
      <c r="A12" s="28" t="s">
        <v>571</v>
      </c>
      <c r="B12" s="28" t="s">
        <v>572</v>
      </c>
      <c r="C12" s="31">
        <v>6.0</v>
      </c>
    </row>
    <row r="13">
      <c r="A13" s="28" t="s">
        <v>571</v>
      </c>
      <c r="B13" s="28" t="s">
        <v>573</v>
      </c>
      <c r="C13" s="31">
        <v>7.0</v>
      </c>
    </row>
    <row r="14">
      <c r="A14" s="28" t="s">
        <v>571</v>
      </c>
      <c r="B14" s="28" t="s">
        <v>574</v>
      </c>
      <c r="C14" s="31">
        <v>7.0</v>
      </c>
    </row>
    <row r="15">
      <c r="A15" s="28" t="s">
        <v>561</v>
      </c>
      <c r="B15" s="35" t="s">
        <v>575</v>
      </c>
      <c r="C15" s="36">
        <f>SUM(C16:C20)</f>
        <v>62</v>
      </c>
      <c r="D15" s="32">
        <f>(C15/C10)*100</f>
        <v>29.80769231</v>
      </c>
    </row>
    <row r="16">
      <c r="A16" s="28" t="s">
        <v>571</v>
      </c>
      <c r="B16" s="28" t="s">
        <v>576</v>
      </c>
      <c r="C16" s="31">
        <v>7.0</v>
      </c>
      <c r="F16" s="4" t="s">
        <v>577</v>
      </c>
    </row>
    <row r="17">
      <c r="A17" s="28" t="s">
        <v>571</v>
      </c>
      <c r="B17" s="37" t="s">
        <v>578</v>
      </c>
      <c r="C17" s="38">
        <v>18.0</v>
      </c>
    </row>
    <row r="18">
      <c r="A18" s="28" t="s">
        <v>571</v>
      </c>
      <c r="B18" s="28" t="s">
        <v>579</v>
      </c>
      <c r="C18" s="31">
        <v>6.0</v>
      </c>
    </row>
    <row r="19">
      <c r="A19" s="28" t="s">
        <v>571</v>
      </c>
      <c r="B19" s="28" t="s">
        <v>580</v>
      </c>
      <c r="C19" s="31">
        <v>14.0</v>
      </c>
    </row>
    <row r="20">
      <c r="A20" s="28" t="s">
        <v>571</v>
      </c>
      <c r="B20" s="37" t="s">
        <v>581</v>
      </c>
      <c r="C20" s="38">
        <v>17.0</v>
      </c>
    </row>
    <row r="21">
      <c r="A21" s="28" t="s">
        <v>561</v>
      </c>
      <c r="B21" s="35" t="s">
        <v>582</v>
      </c>
      <c r="C21" s="36">
        <f>13 + SUM(C22:C25)</f>
        <v>59</v>
      </c>
      <c r="D21" s="32">
        <f>(C21/C10)*100</f>
        <v>28.36538462</v>
      </c>
    </row>
    <row r="22">
      <c r="A22" s="28" t="s">
        <v>571</v>
      </c>
      <c r="B22" s="28" t="s">
        <v>583</v>
      </c>
      <c r="C22" s="31">
        <v>15.0</v>
      </c>
    </row>
    <row r="23">
      <c r="A23" s="28" t="s">
        <v>571</v>
      </c>
      <c r="B23" s="28" t="s">
        <v>584</v>
      </c>
      <c r="C23" s="31">
        <v>1.0</v>
      </c>
    </row>
    <row r="24">
      <c r="A24" s="28" t="s">
        <v>571</v>
      </c>
      <c r="B24" s="28" t="s">
        <v>585</v>
      </c>
      <c r="C24" s="31">
        <v>6.0</v>
      </c>
    </row>
    <row r="25">
      <c r="A25" s="28" t="s">
        <v>571</v>
      </c>
      <c r="B25" s="37" t="s">
        <v>586</v>
      </c>
      <c r="C25" s="38">
        <v>24.0</v>
      </c>
    </row>
    <row r="26">
      <c r="A26" s="28" t="s">
        <v>561</v>
      </c>
      <c r="B26" s="35" t="s">
        <v>587</v>
      </c>
      <c r="C26" s="36">
        <f>SUM(C27:C29)</f>
        <v>55</v>
      </c>
      <c r="D26" s="32">
        <f>(C26/C10)*100</f>
        <v>26.44230769</v>
      </c>
    </row>
    <row r="27">
      <c r="A27" s="28" t="s">
        <v>571</v>
      </c>
      <c r="B27" s="37" t="s">
        <v>588</v>
      </c>
      <c r="C27" s="39">
        <v>33.0</v>
      </c>
    </row>
    <row r="28">
      <c r="A28" s="28" t="s">
        <v>571</v>
      </c>
      <c r="B28" s="28" t="s">
        <v>589</v>
      </c>
      <c r="C28" s="31">
        <v>12.0</v>
      </c>
    </row>
    <row r="29">
      <c r="A29" s="28" t="s">
        <v>571</v>
      </c>
      <c r="B29" s="28" t="s">
        <v>590</v>
      </c>
      <c r="C29" s="34">
        <v>10.0</v>
      </c>
    </row>
    <row r="30">
      <c r="A30" s="28" t="s">
        <v>561</v>
      </c>
      <c r="B30" s="35" t="s">
        <v>591</v>
      </c>
      <c r="C30" s="40">
        <v>12.0</v>
      </c>
      <c r="D30" s="32">
        <f>(C30/C10)*100</f>
        <v>5.769230769</v>
      </c>
    </row>
    <row r="31">
      <c r="A31" s="28"/>
      <c r="B31" s="29"/>
      <c r="C31" s="36"/>
    </row>
    <row r="32">
      <c r="A32" s="28" t="s">
        <v>559</v>
      </c>
      <c r="B32" s="29" t="s">
        <v>592</v>
      </c>
      <c r="C32" s="36">
        <f>SUM(C33,C39,C42,C46)</f>
        <v>142</v>
      </c>
    </row>
    <row r="33">
      <c r="A33" s="28" t="s">
        <v>561</v>
      </c>
      <c r="B33" s="35" t="s">
        <v>593</v>
      </c>
      <c r="C33" s="40">
        <f>SUM(C34:C38)</f>
        <v>33</v>
      </c>
      <c r="D33" s="32">
        <f>(C33/C32)*100</f>
        <v>23.23943662</v>
      </c>
    </row>
    <row r="34">
      <c r="A34" s="28" t="s">
        <v>571</v>
      </c>
      <c r="B34" s="28" t="s">
        <v>594</v>
      </c>
      <c r="C34" s="31">
        <v>8.0</v>
      </c>
    </row>
    <row r="35">
      <c r="A35" s="28" t="s">
        <v>571</v>
      </c>
      <c r="B35" s="28" t="s">
        <v>595</v>
      </c>
      <c r="C35" s="31">
        <v>9.0</v>
      </c>
    </row>
    <row r="36">
      <c r="A36" s="28" t="s">
        <v>571</v>
      </c>
      <c r="B36" s="28" t="s">
        <v>596</v>
      </c>
      <c r="C36" s="31">
        <v>3.0</v>
      </c>
    </row>
    <row r="37">
      <c r="A37" s="28" t="s">
        <v>571</v>
      </c>
      <c r="B37" s="28" t="s">
        <v>597</v>
      </c>
      <c r="C37" s="31">
        <v>11.0</v>
      </c>
    </row>
    <row r="38">
      <c r="A38" s="28" t="s">
        <v>571</v>
      </c>
      <c r="B38" s="28" t="s">
        <v>598</v>
      </c>
      <c r="C38" s="31">
        <v>2.0</v>
      </c>
    </row>
    <row r="39">
      <c r="A39" s="28" t="s">
        <v>561</v>
      </c>
      <c r="B39" s="35" t="s">
        <v>599</v>
      </c>
      <c r="C39" s="40">
        <f>SUM(C40:C41)</f>
        <v>34</v>
      </c>
      <c r="D39" s="32">
        <f>(C39/C32)*100</f>
        <v>23.94366197</v>
      </c>
    </row>
    <row r="40">
      <c r="A40" s="28" t="s">
        <v>571</v>
      </c>
      <c r="B40" s="28" t="s">
        <v>600</v>
      </c>
      <c r="C40" s="31">
        <v>13.0</v>
      </c>
    </row>
    <row r="41">
      <c r="A41" s="28" t="s">
        <v>571</v>
      </c>
      <c r="B41" s="37" t="s">
        <v>601</v>
      </c>
      <c r="C41" s="39">
        <v>21.0</v>
      </c>
    </row>
    <row r="42">
      <c r="A42" s="28" t="s">
        <v>561</v>
      </c>
      <c r="B42" s="35" t="s">
        <v>602</v>
      </c>
      <c r="C42" s="40">
        <f>SUM(C43:C45)</f>
        <v>55</v>
      </c>
      <c r="D42" s="32">
        <f>(C42/C32)*100</f>
        <v>38.73239437</v>
      </c>
    </row>
    <row r="43">
      <c r="A43" s="28" t="s">
        <v>571</v>
      </c>
      <c r="B43" s="37" t="s">
        <v>603</v>
      </c>
      <c r="C43" s="39">
        <v>18.0</v>
      </c>
    </row>
    <row r="44">
      <c r="A44" s="28" t="s">
        <v>571</v>
      </c>
      <c r="B44" s="37" t="s">
        <v>604</v>
      </c>
      <c r="C44" s="38">
        <v>25.0</v>
      </c>
    </row>
    <row r="45">
      <c r="A45" s="28" t="s">
        <v>571</v>
      </c>
      <c r="B45" s="28" t="s">
        <v>605</v>
      </c>
      <c r="C45" s="31">
        <v>12.0</v>
      </c>
    </row>
    <row r="46">
      <c r="A46" s="28" t="s">
        <v>561</v>
      </c>
      <c r="B46" s="35" t="s">
        <v>606</v>
      </c>
      <c r="C46" s="36">
        <v>20.0</v>
      </c>
      <c r="D46" s="32">
        <f>(C46/C32)*100</f>
        <v>14.08450704</v>
      </c>
    </row>
    <row r="47">
      <c r="A47" s="31"/>
    </row>
    <row r="48">
      <c r="A48" s="41"/>
      <c r="B48" s="42"/>
    </row>
    <row r="49">
      <c r="A49" s="4" t="s">
        <v>547</v>
      </c>
      <c r="B49" s="4">
        <v>142.0</v>
      </c>
      <c r="C49" s="32">
        <f>(B49/B52)*100</f>
        <v>34.63414634</v>
      </c>
    </row>
    <row r="50">
      <c r="A50" s="4" t="s">
        <v>607</v>
      </c>
      <c r="B50" s="4">
        <v>208.0</v>
      </c>
      <c r="C50" s="32">
        <f>(B50/B52)*100</f>
        <v>50.73170732</v>
      </c>
    </row>
    <row r="51">
      <c r="A51" s="4" t="s">
        <v>548</v>
      </c>
      <c r="B51" s="4">
        <v>60.0</v>
      </c>
      <c r="C51" s="32">
        <f>(B51/B52)*100</f>
        <v>14.63414634</v>
      </c>
    </row>
    <row r="52">
      <c r="A52" s="4" t="s">
        <v>608</v>
      </c>
      <c r="B52" s="32">
        <f t="shared" ref="B52:C52" si="1">SUM(B49:B51)</f>
        <v>410</v>
      </c>
      <c r="C52" s="32">
        <f t="shared" si="1"/>
        <v>100</v>
      </c>
    </row>
    <row r="54">
      <c r="B54" s="32">
        <f>(15/410)*100</f>
        <v>3.658536585</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3"/>
  </cols>
  <sheetData>
    <row r="1">
      <c r="A1" s="4" t="s">
        <v>609</v>
      </c>
    </row>
    <row r="3">
      <c r="A3" s="43" t="s">
        <v>610</v>
      </c>
    </row>
    <row r="4">
      <c r="A4" s="43" t="s">
        <v>611</v>
      </c>
    </row>
    <row r="5">
      <c r="A5" s="43" t="s">
        <v>612</v>
      </c>
    </row>
    <row r="6">
      <c r="A6" s="43" t="s">
        <v>613</v>
      </c>
    </row>
    <row r="7">
      <c r="A7" s="43" t="s">
        <v>614</v>
      </c>
    </row>
    <row r="8">
      <c r="A8" s="43" t="s">
        <v>615</v>
      </c>
    </row>
    <row r="9">
      <c r="A9" s="43" t="s">
        <v>616</v>
      </c>
    </row>
    <row r="10">
      <c r="A10" s="43" t="s">
        <v>617</v>
      </c>
    </row>
    <row r="11">
      <c r="A11" s="43" t="s">
        <v>618</v>
      </c>
    </row>
    <row r="12">
      <c r="A12" s="43" t="s">
        <v>619</v>
      </c>
    </row>
    <row r="13">
      <c r="A13" s="43" t="s">
        <v>620</v>
      </c>
    </row>
    <row r="14">
      <c r="A14" s="43" t="s">
        <v>621</v>
      </c>
    </row>
    <row r="15">
      <c r="A15" s="43" t="s">
        <v>622</v>
      </c>
    </row>
    <row r="16">
      <c r="A16" s="43" t="s">
        <v>623</v>
      </c>
    </row>
    <row r="17">
      <c r="A17" s="43" t="s">
        <v>624</v>
      </c>
    </row>
    <row r="18">
      <c r="A18" s="43" t="s">
        <v>625</v>
      </c>
    </row>
    <row r="19">
      <c r="A19" s="43" t="s">
        <v>626</v>
      </c>
    </row>
    <row r="20">
      <c r="A20" s="43" t="s">
        <v>627</v>
      </c>
    </row>
    <row r="21">
      <c r="A21" s="44"/>
    </row>
    <row r="22">
      <c r="A22" s="4">
        <v>205.0</v>
      </c>
    </row>
  </sheetData>
  <drawing r:id="rId1"/>
</worksheet>
</file>