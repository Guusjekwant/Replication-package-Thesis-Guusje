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pers" sheetId="1" r:id="rId5"/>
    <sheet state="visible" name="Adoption frameworks" sheetId="2" r:id="rId6"/>
    <sheet state="visible" name="Determinants of AI adoption" sheetId="3" r:id="rId7"/>
    <sheet state="visible" name="Combined criteria extended" sheetId="4" r:id="rId8"/>
    <sheet state="visible" name="Combined criteria brief" sheetId="5" r:id="rId9"/>
    <sheet state="visible" name="Ranked combined criteria" sheetId="6" r:id="rId10"/>
  </sheets>
  <definedNames/>
  <calcPr/>
</workbook>
</file>

<file path=xl/sharedStrings.xml><?xml version="1.0" encoding="utf-8"?>
<sst xmlns="http://schemas.openxmlformats.org/spreadsheetml/2006/main" count="1793" uniqueCount="761">
  <si>
    <t>Search string</t>
  </si>
  <si>
    <t>Title</t>
  </si>
  <si>
    <t>Author</t>
  </si>
  <si>
    <t>Year</t>
  </si>
  <si>
    <t>Link</t>
  </si>
  <si>
    <t>Link to doc</t>
  </si>
  <si>
    <t>Short description</t>
  </si>
  <si>
    <t>Human adoption AI agents</t>
  </si>
  <si>
    <t>Factors influencing users' adoption and use of conversational agents: A systematic review</t>
  </si>
  <si>
    <t>Erin Chao Ling, Iis Tussyadiah, Aarni Tuomi, Jason Stienmetz, Athina Ioannou</t>
  </si>
  <si>
    <t>https://doi.org/10.1002/mar.21491</t>
  </si>
  <si>
    <t>https://docs.google.com/document/d/1SPwaOyDtTSxfXSKOXgxBCxpCaR2GA3MWDR4hiRhuQ-8/edit?tab=t.0#heading=h.tizwl2f0nhul</t>
  </si>
  <si>
    <t>provides one of the most comprehensive overviews to date of the determinants of AI adoption in organizational settings. It synthesizes findings from 90 peer-reviewed studies and proposes a holistic conceptual model connecting individual, organizational, technological, social, and environmental factors.</t>
  </si>
  <si>
    <t>AI adoption</t>
  </si>
  <si>
    <t>Exploring the factors driving AI adoption in production: a systematic literature review and future research agenda</t>
  </si>
  <si>
    <t xml:space="preserve">Heimberger et al </t>
  </si>
  <si>
    <t>https://doi.org/10.1007/s10799-024-00436-z</t>
  </si>
  <si>
    <t>https://docs.google.com/document/d/1SPwaOyDtTSxfXSKOXgxBCxpCaR2GA3MWDR4hiRhuQ-8/edit?tab=t.0#heading=h.9aqrefjsg8iy</t>
  </si>
  <si>
    <t>Comprehensive review of 47 peer-reviewed studies analyzing how and why artificial intelligence (AI) is adopted in production and manufacturing environments.</t>
  </si>
  <si>
    <t>Adoption AI agents</t>
  </si>
  <si>
    <t>Adoption of AI and Agentic Systems: Value, Challenges, and Pathways</t>
  </si>
  <si>
    <t>Ankit Chopra</t>
  </si>
  <si>
    <t>https://cmr.berkeley.edu/assets/documents/pdf/2025-08-adoption-of-ai-and-agentic-systems-value-challenges-and-pathways.pdf</t>
  </si>
  <si>
    <t>https://docs.google.com/document/d/1SPwaOyDtTSxfXSKOXgxBCxpCaR2GA3MWDR4hiRhuQ-8/edit?tab=t.0#heading=h.f6nzybkm7w91</t>
  </si>
  <si>
    <t>presents a strategic overview of how organizations can capture value from AI and agentic systems while managing major adoption challenges.</t>
  </si>
  <si>
    <t>Determinants and Barriers of Artificial Intelligence Adoption – A Literature Review</t>
  </si>
  <si>
    <t>Radhakrishnan &amp; Chattopadhyay</t>
  </si>
  <si>
    <t>https://inria.hal.science/hal-03701824/document</t>
  </si>
  <si>
    <t>https://docs.google.com/document/d/1SPwaOyDtTSxfXSKOXgxBCxpCaR2GA3MWDR4hiRhuQ-8/edit?tab=t.0#heading=h.y46nr9uaui6i</t>
  </si>
  <si>
    <t>Determinants of artificial intelligence adoption: research themes and future directions</t>
  </si>
  <si>
    <t>Ahmad A. Khanfar1 · Reza Kiani Mavi1 · Mohammad Iranmanesh2 · Denise Gengatharen1</t>
  </si>
  <si>
    <t>https://link.springer.com/content/pdf/10.1007/s10799-024-00435-0.pdf</t>
  </si>
  <si>
    <t>https://docs.google.com/document/d/1SPwaOyDtTSxfXSKOXgxBCxpCaR2GA3MWDR4hiRhuQ-8/edit?tab=t.0#heading=h.n3xndpokmg8t</t>
  </si>
  <si>
    <t>Bibliometric and content analysis of 91 peer-reviewed studies published between 1984 and 2022. It identifies the main research trends, theories, and factors influencing AI adoption in organizations.</t>
  </si>
  <si>
    <t>Factors influencing the adoption of artificial intelligence systems: A systematic literature review</t>
  </si>
  <si>
    <t>Khanfar et al</t>
  </si>
  <si>
    <t>https://ro.ecu.edu.au/cgi/viewcontent.cgi?article=6835&amp;context=ecuworks2022-2026</t>
  </si>
  <si>
    <t>https://docs.google.com/document/d/1SPwaOyDtTSxfXSKOXgxBCxpCaR2GA3MWDR4hiRhuQ-8/edit?tab=t.0#heading=h.9420byt120jc</t>
  </si>
  <si>
    <t>Artificial intelligence adoption in a professional service industry: A multiple case study</t>
  </si>
  <si>
    <t>Yang, Blount &amp; Amrollahi</t>
  </si>
  <si>
    <r>
      <rPr>
        <color rgb="FF1155CC"/>
        <u/>
      </rPr>
      <t>https://doi.org/10.1016/j.techfore.2024.123251</t>
    </r>
  </si>
  <si>
    <t>https://docs.google.com/document/d/1SPwaOyDtTSxfXSKOXgxBCxpCaR2GA3MWDR4hiRhuQ-8/edit?tab=t.0#heading=h.yski31vbjmtv</t>
  </si>
  <si>
    <t>presents a comprehensive review of the factors influencing AI adoption in manufacturing organizations and proposes directions for future research.</t>
  </si>
  <si>
    <t>Factors affecting customer adoption of AI digital agents in service operations: an assessment of relative importance</t>
  </si>
  <si>
    <t>Pathak &amp; Bansal</t>
  </si>
  <si>
    <t>2024a</t>
  </si>
  <si>
    <t>file:///Users/gkwant/Downloads/FactorsaffectingcustomeradoptionofAIdigitalagentsinserviceoperationsanassessmentofrelativeimportance.pdf</t>
  </si>
  <si>
    <t>https://docs.google.com/document/d/1SPwaOyDtTSxfXSKOXgxBCxpCaR2GA3MWDR4hiRhuQ-8/edit?tab=t.0#heading=h.e7xdw6eef64h</t>
  </si>
  <si>
    <t>Investigates what drives customers to adopt AI digital agents (AIDAs)—such as chatbots, robo-advisors, and virtual service assistants—particularly in financial service operations. This paper is good for inspiration how they did their related work/literature review</t>
  </si>
  <si>
    <t>AI as decision aid or delegated agent: The effects of trust dimensions on the adoption of AI digital agents</t>
  </si>
  <si>
    <t>2024b</t>
  </si>
  <si>
    <t>https://doi.org/10.1016/j.chbah.2024.100094</t>
  </si>
  <si>
    <t>https://docs.google.com/document/d/1SPwaOyDtTSxfXSKOXgxBCxpCaR2GA3MWDR4hiRhuQ-8/edit?tab=t.0#heading=h.ivj2kfxb01ce</t>
  </si>
  <si>
    <t>Investigates how different forms of trust shape users’ intentions to adopt AI digital agents (AIDAs) in the banking, financial services, and insurance (BFSI) sector</t>
  </si>
  <si>
    <t>Factors Inhibiting the Adoption of Artificial Intelligence at Organizational Level: A Preliminary Investigation</t>
  </si>
  <si>
    <t>Alsheiabni, Cheung &amp; Messom</t>
  </si>
  <si>
    <t>https://researchmgt.monash.edu/ws/portalfiles/portal/287736273/287674072_oa.pdf</t>
  </si>
  <si>
    <t>https://docs.google.com/document/d/1SPwaOyDtTSxfXSKOXgxBCxpCaR2GA3MWDR4hiRhuQ-8/edit?tab=t.0#heading=h.6v4rzk15ijf</t>
  </si>
  <si>
    <t>Explores why organizations—particularly in Australia—struggle to adopt AI technologies despite recognizing their potential value. The study uses the Technology–Organization–Environment (TOE) framework to identify and categorize the key barriers that inhibit AI adoption at the firm level.</t>
  </si>
  <si>
    <t>Insights into Technology Adoption: A Systematic Review of Framework, Variables and Items</t>
  </si>
  <si>
    <t>Emon</t>
  </si>
  <si>
    <t>http://doi.org/10.26480/imcs.02.2023.55.61</t>
  </si>
  <si>
    <t>https://docs.google.com/document/d/1SPwaOyDtTSxfXSKOXgxBCxpCaR2GA3MWDR4hiRhuQ-8/edit?tab=t.0#heading=h.amli7ies6vhp</t>
  </si>
  <si>
    <t>Provides a systematic overview of the main theoretical frameworks and key variables used to study technology adoption. It synthesizes findings from 50 studies (2012–2023) across business, education, and healthcare contexts.</t>
  </si>
  <si>
    <t>What factors contribute to the acceptance of artificial intelligence? A systematic review</t>
  </si>
  <si>
    <t>Kelly, Kaye &amp; Oviedo-Trespalacios</t>
  </si>
  <si>
    <t>https://doi.org/10.1016/j.tele.2022.101925</t>
  </si>
  <si>
    <t>https://docs.google.com/document/d/1SPwaOyDtTSxfXSKOXgxBCxpCaR2GA3MWDR4hiRhuQ-8/edit?tab=t.0#heading=h.6c6at5cp0u0d</t>
  </si>
  <si>
    <t>The paper aims to synthesize empirical evidence on the factors influencing acceptance of artificial intelligence (AI) among users across different contexts (e.g., healthcare, education, workplaces, and consumer applications).</t>
  </si>
  <si>
    <t>TRA in AI adoption</t>
  </si>
  <si>
    <t>Theory of Planned Behavior and Reasoned Action in Predicting Technology Adoption Behavior</t>
  </si>
  <si>
    <t>Shareef et al.</t>
  </si>
  <si>
    <t>https://d1wqtxts1xzle7.cloudfront.net/74299786/b912ca610748e5d264c3ffed6be01e7cd39e-libre.pdf?1636281744=&amp;response-content-disposition=inline%3B+filename%3DTheory_of_Planned_Behavior_and_Reasoned.pdf&amp;Expires=1762340467&amp;Signature=hB1m5saToQp4JypL-DTifghjfuZbRG3DmFcCEAQBgH17Uby7oegaYMvWikECmKrucgzLyvb5isHopHX0gYrtMbb8-q4mcly4QOZVHztzvkrYJTILt4RypLHWcOwIWZ7ye~2aDnif~JsmLJ-97N4i8lxd60E15iJ0dgb0vY6oofpSrRmfAHuB1LOKMGCZXHpbF-KqWvxHwmano8kcSru6cj8iiqg5H1MDzDTi5fDWnURvtUshDAHJHj2rMF83bluKnOPE8OrZ0Xyf4y8BwAi9PMsIngHeYfJop8VyiFJjGgSR79iEKfRvWMn4j8wgxc515KVRkUo1g-VAx1RFrCJDFQ__&amp;Key-Pair-Id=APKAJLOHF5GGSLRBV4ZA</t>
  </si>
  <si>
    <t>The paper extends TRA and TPB to a global ICT adoption framework, where awareness, beliefs, and contextual trust factors drive attitudes, intentions, and actual adoption. It argues that cultural and environmental factors are key determinants of technology acceptance worldwide.</t>
  </si>
  <si>
    <t>Factors Influencing the AI Adoption in Organizations</t>
  </si>
  <si>
    <t>Kurup &amp; Gupta</t>
  </si>
  <si>
    <t>https://doi.org/10.1177/09726225221124035</t>
  </si>
  <si>
    <t>Waiting for access</t>
  </si>
  <si>
    <t>The Critical Factors Impacting Artificial Intelligence Applications Adoption in Vietnam: A Structural Equation Modeling Analysis</t>
  </si>
  <si>
    <t>Phuoc</t>
  </si>
  <si>
    <t>https://doi.org/10.3390/economies10060129</t>
  </si>
  <si>
    <t>https://docs.google.com/document/d/1SPwaOyDtTSxfXSKOXgxBCxpCaR2GA3MWDR4hiRhuQ-8/edit?tab=t.0#heading=h.m84djr5airg</t>
  </si>
  <si>
    <t>The study shows that in Vietnam, AI adoption at the organizational level is driven mainly by technological compatibility, managerial capability, and organizational readiness, while firm size and competitive pressure have little influence. It highlights that a well-prepared internal environment and effective managerial leadership are far more critical than external market forces for successful AI adoption.</t>
  </si>
  <si>
    <t>The Mediating Role of Attitude Towards the Technology in Shaping Artificial Intelligence Usage among Professionals</t>
  </si>
  <si>
    <t>Md. Mehedi Hasan Emon &amp; Tahsina Khan</t>
  </si>
  <si>
    <r>
      <rPr>
        <color rgb="FF1155CC"/>
        <u/>
      </rPr>
      <t>https://doi.org/10.1016/j.teler.2025.100188</t>
    </r>
  </si>
  <si>
    <t>https://docs.google.com/document/d/1SPwaOyDtTSxfXSKOXgxBCxpCaR2GA3MWDR4hiRhuQ-8/edit?tab=t.0#heading=h.bfb3rkghnc1n</t>
  </si>
  <si>
    <t>The study finds that performance expectancy, social influence, and facilitating conditions directly drive AI adoption among professionals in Bangladesh, while attitude plays a crucial mediating role—especially between effort expectancy, social influence, and adoption intention. Positive attitudes toward AI are the strongest predictor of behavioral intention, underscoring the need for trust, awareness, and organizational support to foster widespread AI use.</t>
  </si>
  <si>
    <t>Determining Factors Related to Artificial Intelligence (AI) Adoption among Malaysia’s Small and Medium-Sized Businesses</t>
  </si>
  <si>
    <t>Suddin Lada et al.</t>
  </si>
  <si>
    <t>https://doi.org/10.1016/j.joitmc.2023.100144</t>
  </si>
  <si>
    <t>https://docs.google.com/document/d/1SPwaOyDtTSxfXSKOXgxBCxpCaR2GA3MWDR4hiRhuQ-8/edit?tab=t.0#heading=h.h5v0qciu2kee</t>
  </si>
  <si>
    <t xml:space="preserve">This study examined AI adoption among Malaysian SMEs using a PLS-SEM model and found that organizational readiness and top management commitment are the most significant predictors of AI adoption. External factors such as competitive pressure, employee adaptability, and external support were found to be insignificant, suggesting that internal leadership engagement and firm preparedness are the primary drivers of successful AI implementation.
</t>
  </si>
  <si>
    <t>A Review of Evolution of Theories and Models of Technology Adoption</t>
  </si>
  <si>
    <t>Sharma &amp; Mishra</t>
  </si>
  <si>
    <t>https://iimidr.ac.in/wp-content/uploads/2019/12/Vol6-2RETMTA.pdf</t>
  </si>
  <si>
    <t>https://docs.google.com/document/d/1SPwaOyDtTSxfXSKOXgxBCxpCaR2GA3MWDR4hiRhuQ-8/edit?tab=t.0#heading=h.wwf6v8qbqwwt</t>
  </si>
  <si>
    <t>Sharma &amp; Mishra (2014) reviewed the historical evolution of technology adoption models, from DOI and TRA to UTAUT and MAPS. They highlight that while existing models explain adoption well in traditional contexts, they may fall short in explaining emerging technologies like AI and cloud computing. The paper calls for new, integrative frameworks that capture social, emotional, and contextual dimensions of technology use.</t>
  </si>
  <si>
    <t>Artificial intelligence adoption: AI-readiness at firm-level</t>
  </si>
  <si>
    <t>Alsheiabni et al.</t>
  </si>
  <si>
    <t>https://researchmgt.monash.edu/ws/portalfiles/portal/273209396/254798983_oa.pdf</t>
  </si>
  <si>
    <t>https://docs.google.com/document/d/1SPwaOyDtTSxfXSKOXgxBCxpCaR2GA3MWDR4hiRhuQ-8/edit?tab=t.0#heading=h.d5coohz8ooft</t>
  </si>
  <si>
    <t>The paper proposes a firm-level AI-readiness framework integrating TOE and DOI perspectives. It identifies seven key factors—relative advantage, compatibility, top management support, organization size, resources, competitive pressure, and government regulations—as the primary drivers of AI adoption readiness.
The study highlights that AI readiness is not merely technological but depends on organizational capability, leadership, and external environment, setting the stage for future empirical validation.</t>
  </si>
  <si>
    <t>A moderated model of artificial intelligence adoption in firms and its
effects on their performance</t>
  </si>
  <si>
    <t>Chen &amp; Tajdini</t>
  </si>
  <si>
    <r>
      <rPr>
        <color rgb="FF1155CC"/>
        <u/>
      </rPr>
      <t>https://doi.org/10.1007/s10799-024-00422-5</t>
    </r>
    <r>
      <rPr/>
      <t>5</t>
    </r>
  </si>
  <si>
    <t>https://docs.google.com/document/d/1SPwaOyDtTSxfXSKOXgxBCxpCaR2GA3MWDR4hiRhuQ-8/edit?tab=t.0#heading=h.c8yszosgyexm</t>
  </si>
  <si>
    <t>Chen &amp; Tajdini (2025) found that top management support, customer orientation, and normative pressure significantly drive AI adoption intensity in firms, while technological opportunism is not a major predictor. Technological turbulence moderates these effects—reducing the impact of managerial support but amplifying competitive pressures—and higher AI adoption intensity leads to improved marketing performance. They made use of TOE and DOI</t>
  </si>
  <si>
    <t>Navigating Technology Adoption/Acceptance Models</t>
  </si>
  <si>
    <t>Taherdoost et al.</t>
  </si>
  <si>
    <t>https://doi.org/10.1016/j.procs.2024.05.172</t>
  </si>
  <si>
    <t>https://docs.google.com/document/d/1SPwaOyDtTSxfXSKOXgxBCxpCaR2GA3MWDR4hiRhuQ-8/edit?tab=t.0#heading=h.yiaf0amvwewu</t>
  </si>
  <si>
    <t>Taherdoost et al. (2024) provide a structured overview of traditional and emerging technology adoption models, emphasizing that while TAM, UTAUT, TOE, and DOI explain much of past adoption behavior, future models (PTF, EDTAF, CLTAT, STAM) must address ethics, cognition, and sociocultural diversity. The paper concludes that technology adoption research must evolve toward holistic, ethically informed frameworks to guide innovation in increasingly digital and AI-driven societies.</t>
  </si>
  <si>
    <t>An Empirical Assessment of a Modified Artificially Intelligent Device Use Acceptance Model – From the Task-Oriented Perspective</t>
  </si>
  <si>
    <t>Yang, Luo &amp; Lan</t>
  </si>
  <si>
    <t>https://doi.org/10.3389/fpsyg.2022.975307</t>
  </si>
  <si>
    <t>https://docs.google.com/document/d/1SPwaOyDtTSxfXSKOXgxBCxpCaR2GA3MWDR4hiRhuQ-8/edit?tab=t.0#heading=h.5icpblq0cr2m</t>
  </si>
  <si>
    <t>Yang et al. (2022) developed and validated the Task-Oriented AI Acceptance (T-AIA) model, identifying utilitarian motivation, interaction convenience, and task–technology fit as key predictors of perceived AI competence, which in turn enhances flow experience and reduces switching intention to human service.
The model highlights that perceived competence and user immersion are central to encouraging continued use of task-oriented AI systems.</t>
  </si>
  <si>
    <t>Artificial Intelligence (AI) adaptation: Analysis of determinants
among Small to Medium-sized Enterprises (SME’s).</t>
  </si>
  <si>
    <t>Ingalagi et al.</t>
  </si>
  <si>
    <t>https://iopscience.iop.org/article/10.1088/1757-899X/1049/1/012017/pdf</t>
  </si>
  <si>
    <t>https://docs.google.com/document/d/1SPwaOyDtTSxfXSKOXgxBCxpCaR2GA3MWDR4hiRhuQ-8/edit?tab=t.0#heading=h.700og5qhzsrw</t>
  </si>
  <si>
    <t>The study finds that for SMEs, the internal readiness of the organisation and leadership commitment strongly drive AI adoption, while external factors and support also matter. It highlights that SMEs face unique adoption barriers (resource constraints, skill gaps, awareness) and therefore need tailored strategies and support to implement AI successfully.</t>
  </si>
  <si>
    <t>Attitudes toward artificial intelligence: combining three theoretical perspectives on technology acceptance</t>
  </si>
  <si>
    <t>Koenig</t>
  </si>
  <si>
    <t xml:space="preserve">https://doi.org/10.1007/s00146-024-01987-z
</t>
  </si>
  <si>
    <t>https://docs.google.com/document/d/1SPwaOyDtTSxfXSKOXgxBCxpCaR2GA3MWDR4hiRhuQ-8/edit?tab=t.0#heading=h.jkpdn2yq4n46</t>
  </si>
  <si>
    <t xml:space="preserve">Koenig (2025) proposes a unified framework for AI acceptance that distinguishes between user, delegation, and societal perspectives.
The paper shows that AI acceptance depends simultaneously on perceived usefulness and usability, trust and accountability, and societal legitimacy.
By integrating these dimensions, it offers a comprehensive approach to understanding how individuals and societies accept AI as a tool, autonomous agent, and social technology. Extends TAM &amp; UTAUT by adding autonomy, accountability, and societal legitimacy as essential constructs. </t>
  </si>
  <si>
    <t>Factors influencing autonomous vehicle adoption: an application of the technology acceptance model and innovation diffusion theory</t>
  </si>
  <si>
    <t>Yuen et al</t>
  </si>
  <si>
    <t>https://doi.org/10.1080/09537325.2020.1826423</t>
  </si>
  <si>
    <t>https://docs.google.com/document/d/1SPwaOyDtTSxfXSKOXgxBCxpCaR2GA3MWDR4hiRhuQ-8/edit?tab=t.0#heading=h.llg0bhcgmfrs</t>
  </si>
  <si>
    <t>Yuen et al. (2020) find that perceived usefulness and ease of use are the key drivers of behavioral intention to adopt autonomous vehicles. These perceptions are, in turn, shaped by innovation attributes — particularly relative advantage, compatibility, result demonstrability, visibility, and trialability. The integrated TAM–IDT model explains a substantial share of adoption behavior, offering both theoretical depth and practical guidance for promoting emerging technologies like AVs.</t>
  </si>
  <si>
    <t>Critical Success Factors in the Adoption of Artificial Intelligence: A Necessary Condition Analysis</t>
  </si>
  <si>
    <t>Solaimani &amp; Swaak</t>
  </si>
  <si>
    <t>http://dx.doi.org/10.2139/ssrn.4234144</t>
  </si>
  <si>
    <t>https://docs.google.com/document/d/1SPwaOyDtTSxfXSKOXgxBCxpCaR2GA3MWDR4hiRhuQ-8/edit?tab=t.0#heading=h.4bkpal1l79ow</t>
  </si>
  <si>
    <t>Solaimani &amp; Swaak (2022) identify key success factors for AI adoption using Necessary Condition Analysis. They find that performance expectancy, top management support, and technical resources are the most critical enablers, while ease of use, organizational compatibility, and partner influence play supporting roles. The importance of each factor changes across adoption stages, emphasizing a multi-stage, capability-building process rather than a one-off decision.</t>
  </si>
  <si>
    <t>Artificial intelligence adoption dynamics and knowledge in SMEs and large firms: A systematic review and bibliometric analysis</t>
  </si>
  <si>
    <t>Ayinaddis</t>
  </si>
  <si>
    <t>https://doi.org/10.1016/j.jik.2025.100682</t>
  </si>
  <si>
    <t>https://docs.google.com/document/d/1SPwaOyDtTSxfXSKOXgxBCxpCaR2GA3MWDR4hiRhuQ-8/edit?tab=t.0#heading=h.vqdcqpuu938k</t>
  </si>
  <si>
    <t>Ayinaddis (2025) compares AI adoption in SMEs and large firms through a systematic and bibliometric review. The study finds that SMEs adopt AI reactively, constrained by limited resources and skills, while large firms adopt it strategically for innovation and competitiveness. It concludes that AI adoption dynamics differ by firm size, requiring tailored technological, organizational, and policy support.</t>
  </si>
  <si>
    <t>Paper criteria</t>
  </si>
  <si>
    <t>Year of publication between 2019 and 2025</t>
  </si>
  <si>
    <t>It should be written in English</t>
  </si>
  <si>
    <t>It should be relevant to research topic</t>
  </si>
  <si>
    <t>It should be available for full access or download</t>
  </si>
  <si>
    <t>Google scholar</t>
  </si>
  <si>
    <t>Snowballing</t>
  </si>
  <si>
    <t xml:space="preserve">Related articles Radhakrishnan &amp; Chattopadhyay (2020) </t>
  </si>
  <si>
    <t>Gebleven bij: 5e article, pagina 2 van de lijst die je krijgt als je (Radha,2020) hebt op scholar</t>
  </si>
  <si>
    <t>Theories / frameworks for AI adoption</t>
  </si>
  <si>
    <t>Abbreviation</t>
  </si>
  <si>
    <t>Level</t>
  </si>
  <si>
    <t>Application Area</t>
  </si>
  <si>
    <t>Authors</t>
  </si>
  <si>
    <t>Explanation</t>
  </si>
  <si>
    <t>Technology-organization-environment framework</t>
  </si>
  <si>
    <t>TOE</t>
  </si>
  <si>
    <t>Organizational</t>
  </si>
  <si>
    <t>Cognitive Process Automation (CPA)
Big Data Analysis (BDA)</t>
  </si>
  <si>
    <t>Tornatzky &amp; Fleischer (1990)
DOI: https://www.scribd.com/document/852057567/The-Processes-of-Technological-Innovation#content=query:technological%20context,pageNum:175,indexOnPage:0,bestMatch:false</t>
  </si>
  <si>
    <t>The Technology-organizationenvironment (TOE) framework describes factors in the context of technological, organizational and environmental elements that influence adoption and implementation of technological innovations. The TOE framework has been used to study CRM adoption stages [11], SaaS adoption [35], adoption of mobile reservation systems in hotels [51].</t>
  </si>
  <si>
    <t>Diffusion of Innovations</t>
  </si>
  <si>
    <t>DOI</t>
  </si>
  <si>
    <t>Individual &amp; Organizational</t>
  </si>
  <si>
    <t>Autonomous vehicles (AV)
Big Data Analysis (BDA)</t>
  </si>
  <si>
    <t>Rogers, E.M. (1995) / (1962)</t>
  </si>
  <si>
    <t>The Diffusion of innovations (DOI) explains the rate at which new technology and ideas diffuse in organizations and how and why they spread. DOI can be used to study adoption of technological innovations at both the organization 3 and individual levels. DOI has been used in mobile cloud computing adoption [8], in financial markets [9], autonomous vehicles [43], and Big Data Analytics [20].</t>
  </si>
  <si>
    <t>Unified Theory of Acceptance and Use of Technology</t>
  </si>
  <si>
    <t>UTAUT</t>
  </si>
  <si>
    <t>Individual</t>
  </si>
  <si>
    <t>Autonomous vehicles (AV)
Robots
Medicine</t>
  </si>
  <si>
    <t>Venkatesh, V., Morris, M. G., Davis, G. B., &amp; Davis, F. D. (2003)</t>
  </si>
  <si>
    <t>The Unified Theory of Acceptance and Use of Technology (UTAUT), proposed by Venkatesh et al. (2003), explains technology adoption based on four key determinants—performance expectancy, effort expectancy, social influence, and facilitating conditions—moderated by demographic and contextual variables.
The UTAUT2 model (Venkatesh, Thong, &amp; Xu, 2012) extends this framework to consumer contexts, recognizing that individuals’ technology adoption decisions are often voluntary and influenced by different motivations. UTAUT2 incorporates three additional constructs—hedonic motivation, price value, and habit—which capture enjoyment, cost–benefit considerations, and automatic usage tendencies, respectively. This extension enhances the model’s explanatory power for consumer technology adoption behavior.</t>
  </si>
  <si>
    <t>Technology Acceptance Model</t>
  </si>
  <si>
    <t>TAM</t>
  </si>
  <si>
    <t>Autonomous vehicles (AV)
Big Data Analysis (BDA)
Cognitive Engagement (CE)</t>
  </si>
  <si>
    <t>(Davis, 1985, 1989)</t>
  </si>
  <si>
    <t>TAM, introduced by Davis (1986) was used for modelling user acceptance of information systems, with two primary factors viz perceived ease of use and perceived usefulness. Tam has been used in the extended form in investigating acceptance of telemedicine services adoption [19], in implementing citizen centric technology in developing smart cities [37], in studying the antecedents to virtual reality hardware acceptance [31] etc.</t>
  </si>
  <si>
    <t>Technology Acceptance Model 2</t>
  </si>
  <si>
    <t>TAM 2</t>
  </si>
  <si>
    <t>Venkatesh and Davis (2000)</t>
  </si>
  <si>
    <t>Adds social and cognitive instrumental processes. Improves TAM by including subjective norm, image, job relevance, and output quality.</t>
  </si>
  <si>
    <t>Dynamic Stackelberg Games</t>
  </si>
  <si>
    <t>DSG</t>
  </si>
  <si>
    <t>Atonomous vehicles (AV)</t>
  </si>
  <si>
    <t>Stackelberg (1934)
Wu, F., Zhang, L., &amp; Li, X. (2020)</t>
  </si>
  <si>
    <t>Stackelberg game has been used to show how asymmetric information influences strategic decisions of new technology adoption and how better information is not always a good thing [58]. This game theory was used to find an optimal subsidy policy considering the asymmetry of information between the government agency and the subsidized entities and market forecast uncertainties [28].
Dynamic Stackelberg Games capture the strategic, sequential, and adaptive nature of AI adoption — recognizing that organizations, individuals, and regulators do not act in isolation, but rather anticipate and react to each other’s moves over time.</t>
  </si>
  <si>
    <t>Best Worst Modeling and Binary Choice Model</t>
  </si>
  <si>
    <t>BWM</t>
  </si>
  <si>
    <t>Razaei (2015)</t>
  </si>
  <si>
    <t>Best-worst scaling is a survey method that can be used for examining individuals’ attitude towards technological innovation. It uses the extremes, best and worst items, most and least appealing factors that influence attitude towards adoption. The Binary Choice model is further used to understand how these attitudes influence the purchase decision [38]. This can be used to study AI adoption at an individual level.
Best–Worst Method (BWM) is a multi-criteria decision-making approach that determines the relative importance of factors influencing AI adoption. By comparing key determinants against the most and least critical criteria, it provides consistent, expert-based weightings to prioritize adoption drivers and barriers.</t>
  </si>
  <si>
    <t>Uncertainty Reduction Theory</t>
  </si>
  <si>
    <t>URT</t>
  </si>
  <si>
    <t>(Berger &amp; Calabrese, 1975)</t>
  </si>
  <si>
    <t>According to URT, individuals try to reduce uncertainty by seeking information. Uncertainty arises when one is unable to determine the actions of another. Uncertainty is inversely proportional to trust. According to URT, uncertainty is decreased by acquiring information about the other person [13]. This has been used to study whether explanations promote acceptance of innovations.
Uncertainty Reduction Theory (URT) explains how individuals seek information to reduce uncertainty in new interactions or technologies. In AI adoption, URT is used to understand how users gather information, build trust, and form attitudes toward AI systems. Reducing uncertainty through transparency, explainability, and user experience increases users’ confidence and likelihood of adopting AI.</t>
  </si>
  <si>
    <t>Agent Based Simulation Modeling</t>
  </si>
  <si>
    <t>ABM</t>
  </si>
  <si>
    <t>Original paper: Epstein &amp; Axtell (1996)
Applied in: J.T. Aparicio et al. (2024)</t>
  </si>
  <si>
    <t>It is used to model heterogeneous individuals who behave differently and are linked together. It is used for simulating the actions and interactions of autonomous agents to assess effects on the system as a whole. Combination of DOI and Agent Based Modelling can be used to model adoptions [43].
Agent-Based Simulation Modeling (ABM) is a computational approach that simulates interactions between autonomous agents—such as individuals, organizations, or technologies—to study complex adoption dynamics. In AI adoption, ABM can model how individual behaviors, social influence, and organizational decisions interact over time to shape diffusion patterns. It helps researchers explore “what-if” scenarios and predict how different factors or policies affect the rate and spread of AI adoption.</t>
  </si>
  <si>
    <t>Cognitive Appraisal theory, Cognitive Dissonance Theory</t>
  </si>
  <si>
    <t>Robots</t>
  </si>
  <si>
    <t>Dogan Gursoy, Oscar Hengxuan Chi, Lu Lu, Robin Nunkoo (2019)</t>
  </si>
  <si>
    <t xml:space="preserve">Cognitive appraisal consists of the primary appraisal process where a person examines a situation and finds out how that event will affect him and the secondary appraisal process where a response is arrived at. The outcome stage will determine how willing or reluctant they are, to accept the use of AI devices [17]. According to cognitive dissonance theory, individuals like to have consistency in their beliefs, opinions and behaviour. When there is lack of agreement, the attitude will change to resolve the dissonance.
Cognitive appraisal and cognitive dissonance theories are used to understand user adoption of AI by explaining how users' perceptions and feelings drive their behavior. Cognitive appraisal theory suggests users evaluate AI based on primary appraisals (e.g., risk, benefit) and secondary appraisals (e.g., options, capabilities), which leads to an outcome like acceptance or rejection. Cognitive dissonance theory explains that if an individual's beliefs (e.g., about skill) conflict with their actions (e.g., using AI), they will experience discomfort and seek to reduce it, perhaps by rationalizing AI use or minimizing the importance of their original beliefs. </t>
  </si>
  <si>
    <t>Bandura's theory of Self-efficacy</t>
  </si>
  <si>
    <t>Bandura (1977, 1986, 1997)
Applied in: (Latikka et al., 2019)</t>
  </si>
  <si>
    <t>Self-efficacy is the confidence in oneself to be able to influence events. A study was done to show how self-efficacy with regard to robot use is associated with its acceptance [23].
To ensure the successful implementation of new technology, it is essential to understand the factors that influence the user’s decision to accept or reject technology (Hasan, 2006; Venkatesh, 2000). Self-efficacy is one of the key drivers of human activity (Bandura 2006), and it has been found to have both direct and indirect impact on the intention and actual use of different technologies</t>
  </si>
  <si>
    <t>The ‘Media Richness Theory’</t>
  </si>
  <si>
    <t>MRT</t>
  </si>
  <si>
    <t>Cognitive engagement (CE)</t>
  </si>
  <si>
    <t>(Daft and Lengel, 1984, Daft and Lengel, 1986)
Applied in: Androutsopoulou et al. (2019)</t>
  </si>
  <si>
    <t>This shows the relationship between the qualities and features of the communication task and the communication channel used for it. The theory has been used a lot in research related to e-government to examine why citizens continue to use the traditional methods [3].</t>
  </si>
  <si>
    <t>Uses and Gratification theory</t>
  </si>
  <si>
    <t>U&amp;GT</t>
  </si>
  <si>
    <t>(McLean &amp; Osei-Frimpong, 2019)</t>
  </si>
  <si>
    <t>Uses and gratification theory is used to explain why people prefer to adopt certain media or innovation. The assumption is that the consumers are not passive. A study was done to understand the adoption of Alexa (Voice Assistant) and other technological innovations [32].</t>
  </si>
  <si>
    <t>Service-Personal-Technological-Social</t>
  </si>
  <si>
    <t>SPTS</t>
  </si>
  <si>
    <t>Financial customer service</t>
  </si>
  <si>
    <t>(Pathak &amp; Bensal, 2024)</t>
  </si>
  <si>
    <t>It addresses a key gap by introducing the Service-Personal-Technology-Social (SPTS) framework, comprising four dimensions: AI service experience (AE), personal dimension (PD), users’ technology perception (TP), and social dimension (SD). The factors and sub-factors were categorised under these dimensions to provide organisations with a holistic perspective for assessing AI service agents from the user’s viewpoint. Focus is on financial customer service.</t>
  </si>
  <si>
    <t>AI Device User Acceptance</t>
  </si>
  <si>
    <t>AIDUA</t>
  </si>
  <si>
    <t xml:space="preserve">Customer service roles (e.g., hotel service and hospitality) </t>
  </si>
  <si>
    <t>(Gursoy et al. 2019)</t>
  </si>
  <si>
    <t>The AIDUA extends on previous acceptance models to explore user acceptance of AI agents by studying user experience in three stages (i.e., primary appraisal, secondary appraisal, and outcome stage). In the primary appraisal stage, Gursoy et al. (2019) propose that consumers assess the importance of using the AI device based on social influence, hedonic motivation, and anthropomorphism</t>
  </si>
  <si>
    <t>Information System Success Model</t>
  </si>
  <si>
    <t>ISS</t>
  </si>
  <si>
    <t>E-commerce</t>
  </si>
  <si>
    <t>(DeLone &amp; McLean, 2003)
DOI: https://www.pjlss.edu.pk/pdf_files/2024_2/24624-24635.pdf</t>
  </si>
  <si>
    <t>Evaluates the overall success of an information system through six interrelated dimensions — system quality, information quality, service quality, use, user satisfaction, and net benefits. It links technical and user-level factors to organizational outcomes, emphasizing how system performance and user satisfaction drive overall value creation.</t>
  </si>
  <si>
    <t>Task Technology Fit</t>
  </si>
  <si>
    <t>TTF</t>
  </si>
  <si>
    <t>(Goodhue and Thompson, 1995)</t>
  </si>
  <si>
    <t xml:space="preserve">The framework suggests that the fit between the characteristics of the technology and the task requirements influences the adoption and use of technology. TTF focuses on the fit between four key
factors: task characteristics, technology characteristics, individual differences, and organizational context. </t>
  </si>
  <si>
    <t>Innovation Diffusion Theory</t>
  </si>
  <si>
    <t>IDT</t>
  </si>
  <si>
    <t>Orgnizational &amp; Individual</t>
  </si>
  <si>
    <t>Tornatzky &amp; Klein (1982); Moore &amp; Benbasat (1991)</t>
  </si>
  <si>
    <t>The theory suggests that the adoption of a technology occurs in stages, starting with innovators, followed by early adopters, early majority, late majority, and laggards (English, 2016). IDT also identifies several factors that influence the adoption of a technology, including relative advantage, compatibility, complexity, trialability, and observability.</t>
  </si>
  <si>
    <t>Theory of Reasoned Action</t>
  </si>
  <si>
    <t>TRA</t>
  </si>
  <si>
    <t>Ajzen &amp; Fishbein (1980)</t>
  </si>
  <si>
    <t>The Theory of Reasoned Action (TRA) posits that an individual’s behavior is driven by their behavioral intention, which is influenced by attitude toward the behavior and subjective norms (social pressure or expectations). It assumes behavior is volitional and rational, emphasizing how beliefs shape attitudes and ultimately actions.</t>
  </si>
  <si>
    <t>Theory of Planned Behavior</t>
  </si>
  <si>
    <t>TPB</t>
  </si>
  <si>
    <t>Ajzen (1985, 1991)</t>
  </si>
  <si>
    <t>The Theory of Planned Behavior (TPB) extends TRA by adding perceived behavioral control—the perceived ease or difficulty of performing a behavior—as an additional determinant of behavioral intention and action. It is widely used to explain technology adoption, as it accounts for both individual motivation and external constraints influencing behavior.</t>
  </si>
  <si>
    <t>The Social Cognitive Theory</t>
  </si>
  <si>
    <t>SCT</t>
  </si>
  <si>
    <t>(Bandura, 1986)</t>
  </si>
  <si>
    <t>SCT Explains behavior through the reciprocal interaction of personal factors, environment, and behavior. Central to technology adoption is self-efficacy, as individuals’ belief in their capability to use AI effectively drives adoption, reinforced by observational learning and organizational support.</t>
  </si>
  <si>
    <t>The Model of PC Utilization</t>
  </si>
  <si>
    <t>MPCU</t>
  </si>
  <si>
    <t>(Thompson et. al. 1991)</t>
  </si>
  <si>
    <t>Model of PC Utilization (MPCU) Explains technology use based on job fit, complexity, affect, social influence, and facilitating conditions. Emphasizes actual use behavior rather than mere intention, showing that technology adoption depends on both perceived usefulness and emotional/social context. Relevant for understanding how professionals voluntarily engage with AI systems in their daily work.</t>
  </si>
  <si>
    <t>The Motivation Model</t>
  </si>
  <si>
    <t>MM</t>
  </si>
  <si>
    <t>Davis, Bagozzi &amp; Warshaw (1992)</t>
  </si>
  <si>
    <t>MM Explains technology use through extrinsic motivation (perceived usefulness, external rewards) and intrinsic motivation (enjoyment and satisfaction). It highlights that users adopt and continue to use technology when it is both useful and enjoyable, linking motivation to intention and actual use.</t>
  </si>
  <si>
    <t>Model of Acceptance with Peer Support</t>
  </si>
  <si>
    <t>MAPS</t>
  </si>
  <si>
    <t>Individual &amp; social</t>
  </si>
  <si>
    <t>Sykes, T.A., Venkatesh, V., &amp; Ghosh, S. (2009)</t>
  </si>
  <si>
    <t>Maps Extends UTAUT by emphasizing peer support and social networks as key drivers of technology use within organizations. Demonstrates that instrumental and affective peer support enhance perceptions of usefulness and ease of use, making social interaction and collaboration critical for sustained adoption of complex technologies such as AI systems.</t>
  </si>
  <si>
    <t>Personality Technology Fit Model</t>
  </si>
  <si>
    <t>PTF</t>
  </si>
  <si>
    <t>Taherdoost et al. (2024)</t>
  </si>
  <si>
    <t>This model makes it possible to customize technology recommendations and improve user experiences by knowing how various personality types relate to particular technologies.</t>
  </si>
  <si>
    <t>Ethics-Driven Technology Adoption Framework</t>
  </si>
  <si>
    <t>ADTAF</t>
  </si>
  <si>
    <t>Environmental</t>
  </si>
  <si>
    <t>The EDTAF achieves a difficult balance between innovation and social responsibility by incorpo-rating ethical concerns into technology adoption decisions, assisting people and or-ganizations in making moral technology decisions</t>
  </si>
  <si>
    <t>Cognitive Load Technology Adoption Theory</t>
  </si>
  <si>
    <t>CLTAT</t>
  </si>
  <si>
    <t xml:space="preserve">a theory that takes into account the cognitive demands consumers face when adopting new technologies. This methodology aims to optimize user interfaces and interactions, lowering cognitive load and promoting user acceptance by assessing cognitive load factors. </t>
  </si>
  <si>
    <t>Socio-Technical Adoption Model</t>
  </si>
  <si>
    <t>STAM</t>
  </si>
  <si>
    <t xml:space="preserve">The STAM provides insight into how technology integration varies across various sociocultural contexts by helping to understand the function of social networks, norms, and cultural elements. </t>
  </si>
  <si>
    <t>Task-oriented AI Acceptance model</t>
  </si>
  <si>
    <t>T-AIA</t>
  </si>
  <si>
    <t>Yang et al. (2022)</t>
  </si>
  <si>
    <t>Yang et al. (2022) developed and validated the Task-Oriented AI Acceptance (T-AIA) model, identifying utilitarian motivation, interaction convenience, and task–technology fit as key predictors of perceived AI competence, which in turn enhances flow experience and reduces switching intention to human service.</t>
  </si>
  <si>
    <t>Goodhue &amp; Thompson (1995)</t>
  </si>
  <si>
    <t>The TTF posits that technology is more likely to be adopted and improve performance when its capabilities align with the user’s task requirements. In AI adoption, TTF assesses how well AI systems support specific organizational or individual tasks—such as decision-making or automation—highlighting that fit between task needs and AI functionality drives effective use and acceptance.</t>
  </si>
  <si>
    <t>Adoption factors / Determinants</t>
  </si>
  <si>
    <t>Organizational strategy and roadmap for AI;</t>
  </si>
  <si>
    <t>(Radhakrishnan &amp; Chattopadhyay, 2020)</t>
  </si>
  <si>
    <t>top management support;</t>
  </si>
  <si>
    <t>existing infrastructure;</t>
  </si>
  <si>
    <t>digital maturity;</t>
  </si>
  <si>
    <t>trust, skill base;</t>
  </si>
  <si>
    <t>competitive market environment;</t>
  </si>
  <si>
    <t>Compatibility;</t>
  </si>
  <si>
    <t>relative Advantage;</t>
  </si>
  <si>
    <t>Observability;</t>
  </si>
  <si>
    <t>cost of adoption;</t>
  </si>
  <si>
    <t>external pressure;</t>
  </si>
  <si>
    <t>Government support;</t>
  </si>
  <si>
    <t>privacy laws;</t>
  </si>
  <si>
    <t>organizational innovativeness;</t>
  </si>
  <si>
    <t>Top management support</t>
  </si>
  <si>
    <t>(Khanfar et al.,2024)</t>
  </si>
  <si>
    <t>Organizational readiness</t>
  </si>
  <si>
    <t>Financial and technical resources</t>
  </si>
  <si>
    <t>AI governance structures</t>
  </si>
  <si>
    <t>Innovation culture</t>
  </si>
  <si>
    <t>Availability of skilled staff</t>
  </si>
  <si>
    <t>Perceived usefulness and ease of use (core TAM/UTAUT drivers)</t>
  </si>
  <si>
    <t>Technology anxiety</t>
  </si>
  <si>
    <t>Fear of job loss</t>
  </si>
  <si>
    <t>Personal innovatiness</t>
  </si>
  <si>
    <t>Self-efficacy</t>
  </si>
  <si>
    <t>Trust</t>
  </si>
  <si>
    <t>Perceived safety</t>
  </si>
  <si>
    <t>Risk perception</t>
  </si>
  <si>
    <t>System reliability and accuracy</t>
  </si>
  <si>
    <t>Technological</t>
  </si>
  <si>
    <t>complexity</t>
  </si>
  <si>
    <t>maturity of AI systems</t>
  </si>
  <si>
    <t>compatibility with IT infrastructure</t>
  </si>
  <si>
    <t>task–technology fit</t>
  </si>
  <si>
    <t>Governmental regulations and support</t>
  </si>
  <si>
    <t>competitive pressure</t>
  </si>
  <si>
    <t>market demand</t>
  </si>
  <si>
    <t>vendor support</t>
  </si>
  <si>
    <t>industry norms</t>
  </si>
  <si>
    <t>Peer and community perceptions</t>
  </si>
  <si>
    <t>Social</t>
  </si>
  <si>
    <t>Social influence</t>
  </si>
  <si>
    <t>Collaboration culture</t>
  </si>
  <si>
    <t>Ethics and transparency concerns</t>
  </si>
  <si>
    <t>(Khanfar et al.,2025)</t>
  </si>
  <si>
    <t>Resistance to use</t>
  </si>
  <si>
    <t>Perceived usefulness</t>
  </si>
  <si>
    <t>Perceived ease of use</t>
  </si>
  <si>
    <t>Perceived threat / risks</t>
  </si>
  <si>
    <t>Personal characteristics</t>
  </si>
  <si>
    <t>Knowledge sharing tendency</t>
  </si>
  <si>
    <t>Personal self-image</t>
  </si>
  <si>
    <t>Personal development concern</t>
  </si>
  <si>
    <t>Using system experience</t>
  </si>
  <si>
    <t>ICT / AI knowlegde</t>
  </si>
  <si>
    <t>ICT competence</t>
  </si>
  <si>
    <t>Perceptions of social surroundings on AI systems</t>
  </si>
  <si>
    <t>Perceptions of social surroundings on the individual (image)</t>
  </si>
  <si>
    <t>Impact on community</t>
  </si>
  <si>
    <t>Organisational readiness</t>
  </si>
  <si>
    <t>AI governance system</t>
  </si>
  <si>
    <t>Financial readiness</t>
  </si>
  <si>
    <t>Firm size</t>
  </si>
  <si>
    <t>Technical readiness</t>
  </si>
  <si>
    <t>Clarity of roles and responsibilities</t>
  </si>
  <si>
    <t>Organizational (individual level)</t>
  </si>
  <si>
    <t>Resistance to change</t>
  </si>
  <si>
    <t>Collaboration and communication culture</t>
  </si>
  <si>
    <t>Skilled resources/experts</t>
  </si>
  <si>
    <t>Educational resources and training</t>
  </si>
  <si>
    <t>Task complexity</t>
  </si>
  <si>
    <t>Effective operations</t>
  </si>
  <si>
    <t>Managerial capabilities</t>
  </si>
  <si>
    <t>Technology implementation experience</t>
  </si>
  <si>
    <t>Competitive pressure</t>
  </si>
  <si>
    <t>Market uncertainty</t>
  </si>
  <si>
    <t>Skilled resources in the market</t>
  </si>
  <si>
    <t>Market demand</t>
  </si>
  <si>
    <t>Industry regulations</t>
  </si>
  <si>
    <t>Governmental regulations</t>
  </si>
  <si>
    <t>Government support</t>
  </si>
  <si>
    <t>Political issues</t>
  </si>
  <si>
    <t>AI vendor availability</t>
  </si>
  <si>
    <t>Corporate social responsibility</t>
  </si>
  <si>
    <t>AI vendor support</t>
  </si>
  <si>
    <t>Environmental (firm &amp; individual level)</t>
  </si>
  <si>
    <t>Business partners support</t>
  </si>
  <si>
    <t>Return on investment</t>
  </si>
  <si>
    <t>Costs of AI systems</t>
  </si>
  <si>
    <t>Benefits of AI systems</t>
  </si>
  <si>
    <t>Technology integration</t>
  </si>
  <si>
    <t>Compatibility with IT infrastructures</t>
  </si>
  <si>
    <t>Maturity of the system</t>
  </si>
  <si>
    <t>System Complexity</t>
  </si>
  <si>
    <t>Technological (firm &amp; individual level)</t>
  </si>
  <si>
    <t>Privacy and security]</t>
  </si>
  <si>
    <t>Trust in technology</t>
  </si>
  <si>
    <t>Task-technology fit</t>
  </si>
  <si>
    <t>Technology affordance</t>
  </si>
  <si>
    <t>(Yang, Blount &amp; Amrollahi, 2024)</t>
  </si>
  <si>
    <t>Technology constraints</t>
  </si>
  <si>
    <t>Innovation management</t>
  </si>
  <si>
    <t>AI readiness</t>
  </si>
  <si>
    <t>Regulatory environment</t>
  </si>
  <si>
    <t>Competitive environment</t>
  </si>
  <si>
    <t>AI service experience (AE)</t>
  </si>
  <si>
    <t>(Pathak &amp; Bansal, 2024a) (figure 2)</t>
  </si>
  <si>
    <t>Service</t>
  </si>
  <si>
    <t>AI interaction quality (AE1)</t>
  </si>
  <si>
    <t>AI Information quality (AE2)</t>
  </si>
  <si>
    <t>AI system quality (AE3)</t>
  </si>
  <si>
    <t>Personalization (AE4)</t>
  </si>
  <si>
    <t>Anthropomorphic design (AE5)</t>
  </si>
  <si>
    <t>Perceived data privacy &amp; security (AE6)</t>
  </si>
  <si>
    <t>Personal Dimension (PD)</t>
  </si>
  <si>
    <t>Personal</t>
  </si>
  <si>
    <t>Trust - coginitive trust (PD1.1)</t>
  </si>
  <si>
    <t>Trust - affective trust (PD1.2)</t>
  </si>
  <si>
    <t>Trust - social trust (PD1.3)</t>
  </si>
  <si>
    <t>Hedonic motivation (PD2)</t>
  </si>
  <si>
    <t>Price value (PD3)</t>
  </si>
  <si>
    <t>Habit (PD4)</t>
  </si>
  <si>
    <t>User's technological perception (TP)</t>
  </si>
  <si>
    <t xml:space="preserve">Technological </t>
  </si>
  <si>
    <t>Perceived ease of use (TP1)</t>
  </si>
  <si>
    <t>Perceived usefulness (TP2)</t>
  </si>
  <si>
    <t>Technological self-efficacy (TP3)</t>
  </si>
  <si>
    <t>Social dimension (SD)</t>
  </si>
  <si>
    <t>Subjective norms (SD1)</t>
  </si>
  <si>
    <t>Facilitating conditions (SD2)</t>
  </si>
  <si>
    <t>Regulatory environment (SD3)</t>
  </si>
  <si>
    <t>Sociodemographic - experience (SD4.1)</t>
  </si>
  <si>
    <t>Sociodemographic - age (SD4.2)</t>
  </si>
  <si>
    <t>Sociodemographic - education level (SD4.3)</t>
  </si>
  <si>
    <t>Performance Measures</t>
  </si>
  <si>
    <t>(Heimberger et al, 2024)</t>
  </si>
  <si>
    <t>Investment</t>
  </si>
  <si>
    <t>Company Size</t>
  </si>
  <si>
    <t>Product Complexity</t>
  </si>
  <si>
    <t>Batch Size</t>
  </si>
  <si>
    <t>R&amp;D Intensity</t>
  </si>
  <si>
    <t>Change Management</t>
  </si>
  <si>
    <t>Managerial Support</t>
  </si>
  <si>
    <t>Strategic Promoter</t>
  </si>
  <si>
    <t>Strategic Orientation</t>
  </si>
  <si>
    <t>Skilled Workforce*</t>
  </si>
  <si>
    <t>Education and Training</t>
  </si>
  <si>
    <t>Innovation Culture</t>
  </si>
  <si>
    <t>Mindset</t>
  </si>
  <si>
    <t>IT Infrastructure</t>
  </si>
  <si>
    <t>Security</t>
  </si>
  <si>
    <t>User-Friendliness</t>
  </si>
  <si>
    <t>System Compatibility</t>
  </si>
  <si>
    <t>Safety</t>
  </si>
  <si>
    <t>Privacy</t>
  </si>
  <si>
    <t>Data Availability*</t>
  </si>
  <si>
    <t>Data Consistency</t>
  </si>
  <si>
    <t>Data Governance</t>
  </si>
  <si>
    <t>Data Interoperability</t>
  </si>
  <si>
    <t>Data Processing</t>
  </si>
  <si>
    <t>Data Analytics</t>
  </si>
  <si>
    <t>Data Storage</t>
  </si>
  <si>
    <t>Ethical Guidelines*</t>
  </si>
  <si>
    <t>Laws and Regulation</t>
  </si>
  <si>
    <t>Cooperation</t>
  </si>
  <si>
    <t>Government Support</t>
  </si>
  <si>
    <t>Environmental Dynamism</t>
  </si>
  <si>
    <t>Industrial Sector</t>
  </si>
  <si>
    <t>Country</t>
  </si>
  <si>
    <t>consumer trust</t>
  </si>
  <si>
    <t>(Alsheiabni, Cheung &amp; Messom, AMCIS 2019)</t>
  </si>
  <si>
    <t>regulatory acceptance</t>
  </si>
  <si>
    <t>lack of top management support</t>
  </si>
  <si>
    <t>lack of AI skills</t>
  </si>
  <si>
    <t>employee fear of change</t>
  </si>
  <si>
    <t>lack of funding</t>
  </si>
  <si>
    <t>unclear business case</t>
  </si>
  <si>
    <t>Orgniazational</t>
  </si>
  <si>
    <t>security &amp; privacy</t>
  </si>
  <si>
    <t>limited technology capabilities</t>
  </si>
  <si>
    <t>Kelly, Kaye &amp; Oviedo-Trespalacios (2023)</t>
  </si>
  <si>
    <t>Organizational, individual</t>
  </si>
  <si>
    <t>Attitude toward AI</t>
  </si>
  <si>
    <t>Trust in AI</t>
  </si>
  <si>
    <t>Perceived risk and privacy concerns</t>
  </si>
  <si>
    <t>Perceived control</t>
  </si>
  <si>
    <t>Organizational, individual, technological</t>
  </si>
  <si>
    <t>Anthropomorphism &amp; perceived humanness</t>
  </si>
  <si>
    <t xml:space="preserve">Cultural context </t>
  </si>
  <si>
    <t>Preference for human interaction</t>
  </si>
  <si>
    <t>Technical compatibility</t>
  </si>
  <si>
    <t>Phuoc (2022) (vietnamese focus)</t>
  </si>
  <si>
    <t>Relative advantage</t>
  </si>
  <si>
    <t>Phuoc (2022)</t>
  </si>
  <si>
    <t>Technical complexity</t>
  </si>
  <si>
    <t>Managerial support</t>
  </si>
  <si>
    <t>Managerial capability</t>
  </si>
  <si>
    <t>Organizational size</t>
  </si>
  <si>
    <t>Government involvement</t>
  </si>
  <si>
    <t>Vendor partnership</t>
  </si>
  <si>
    <t>Suddin Lada et al. (2023) (focus on SMEs)</t>
  </si>
  <si>
    <t>Top management commitment</t>
  </si>
  <si>
    <t>Suddin Lada et al. (2023)</t>
  </si>
  <si>
    <t>Employee adaptability</t>
  </si>
  <si>
    <t>External support</t>
  </si>
  <si>
    <t>Performance expectancy</t>
  </si>
  <si>
    <t>Md. Mehedi Hasan Emon &amp; Tahsina Khan (2025) (Bangladesh focus)</t>
  </si>
  <si>
    <t>Effort expectancy</t>
  </si>
  <si>
    <t>Md. Mehedi Hasan Emon &amp; Tahsina Khan (2025)</t>
  </si>
  <si>
    <t>Facilitating conditions</t>
  </si>
  <si>
    <t>Organizational, environmental</t>
  </si>
  <si>
    <t>Behavioral intention</t>
  </si>
  <si>
    <t>Alsheibani, S., Cheung, Y., &amp; Messom, C. (2018)</t>
  </si>
  <si>
    <t>Compatibility</t>
  </si>
  <si>
    <t>Organization size</t>
  </si>
  <si>
    <t>Resources</t>
  </si>
  <si>
    <t>Government regulations</t>
  </si>
  <si>
    <t>Technological opportunism</t>
  </si>
  <si>
    <t>Chen &amp; Tajdini (2024)</t>
  </si>
  <si>
    <t>Customer orientation</t>
  </si>
  <si>
    <t>Normative pressure</t>
  </si>
  <si>
    <t>Technolocal turbulence</t>
  </si>
  <si>
    <t>AI adoption intensity --&gt; Marketing performance</t>
  </si>
  <si>
    <t>Ingalagi et al. (2021)</t>
  </si>
  <si>
    <t>Yuen et al (2020)</t>
  </si>
  <si>
    <t>Voluntariness</t>
  </si>
  <si>
    <t>Image</t>
  </si>
  <si>
    <t>Ease of use</t>
  </si>
  <si>
    <t>Trialability</t>
  </si>
  <si>
    <t>Result demonstrability</t>
  </si>
  <si>
    <t>Visibility</t>
  </si>
  <si>
    <t>Oursourcing certainty</t>
  </si>
  <si>
    <t>Solaimani &amp; Swaak (2022)</t>
  </si>
  <si>
    <t>Perfomance expectancy</t>
  </si>
  <si>
    <t>Technical competencies and resources</t>
  </si>
  <si>
    <t>Trading partner leverage</t>
  </si>
  <si>
    <t>Organizational compatibility</t>
  </si>
  <si>
    <t>Market dynamics and competitive pressure</t>
  </si>
  <si>
    <t>Ayinaddis (2025)</t>
  </si>
  <si>
    <t>External support and collaboration</t>
  </si>
  <si>
    <t>Regulatory and ethical compliance</t>
  </si>
  <si>
    <t>Skills and competences</t>
  </si>
  <si>
    <t>Resources and financial readiness</t>
  </si>
  <si>
    <t>Management commitment and support</t>
  </si>
  <si>
    <t>Technology readiness</t>
  </si>
  <si>
    <t>Customization / flexibility</t>
  </si>
  <si>
    <t>AI tools and needs</t>
  </si>
  <si>
    <t>Data requirements</t>
  </si>
  <si>
    <t>Rank</t>
  </si>
  <si>
    <t>Consolidated Criterion</t>
  </si>
  <si>
    <t>Frequency</t>
  </si>
  <si>
    <t>Clustering Rationale</t>
  </si>
  <si>
    <t>Column 6</t>
  </si>
  <si>
    <t>List of Authors</t>
  </si>
  <si>
    <t>Top Management Support / Commitment</t>
  </si>
  <si>
    <t>This criterion captures the essential role of executive endorsement in driving AI adoption, consolidating terms like 'Top management support', 'Managerial Support', 'Top management commitment', and 'Management commitment and support' which all refer to the directive leadership necessary for resource allocation and strategic prioritization of AI initiatives.</t>
  </si>
  <si>
    <t>(Radhakrishnan &amp; Chattopadhyay, 2020), (Khanfar et al.,2024), (Khanfar et al.,2025), (Heimberger et al, 2024), (Alsheiabni, Cheung &amp; Messom, AMCIS 2019), Phuoc (2022), Suddin Lada et al. (2023), Alsheibani, S., Cheung, Y., &amp; Messom, C. (2018), Chen &amp; Tajdini (2024), Ingalagi et al. (2021), Solaimani &amp; Swaak (2022), Ayinaddis (2025)</t>
  </si>
  <si>
    <t>Governmental &amp; Regulatory Factors</t>
  </si>
  <si>
    <t>This environmental category combines all formal external influences from the state or governing bodies, including 'Government support', 'privacy laws', 'Governmental regulations and support', 'Governmental regulations', 'Industry regulations', 'Political issues', 'Regulatory environment', 'Laws and Regulation', and 'Government involvement'.</t>
  </si>
  <si>
    <t>(Radhakrishnan &amp; Chattopadhyay, 2020), (Khanfar et al.,2024), (Khanfar et al.,2025), (Yang, Blount &amp; Amrollahi, 2024), (Pathak &amp; Bansal, 2024a) (figure 2), (Heimberger et al, 2024), (Alsheiabni, Cheung &amp; Messom, AMCIS 2019), Phuoc (2022), Alsheibani, S., Cheung, Y., &amp; Messom, C. (2018), Ayinaddis (2025)</t>
  </si>
  <si>
    <t>Competitive Pressure / Market Dynamics</t>
  </si>
  <si>
    <t>This group encompasses external environmental pressures driving the need for AI adoption, combining 'competitive market environment', 'competitive pressure', 'Competitive environment', 'Market dynamics and competitive pressure', and 'Environmental Dynamism'. These terms reflect the influence of industry rivalry and market volatility on the adoption decision.</t>
  </si>
  <si>
    <t>(Radhakrishnan &amp; Chattopadhyay, 2020), (Khanfar et al.,2024), (Khanfar et al.,2025), (Yang, Blount &amp; Amrollahi, 2024), Phuoc (2022), Alsheibani, S., Cheung, Y., &amp; Messom, C. (2018), Ingalagi et al. (2021), Ayinaddis (2025)</t>
  </si>
  <si>
    <t>Compatibility / Technology Integration</t>
  </si>
  <si>
    <t>Compatibility is a core attribute from the Diffusion of Innovation (DOI) theory, referring to the fit between the innovation and existing infrastructure, values, and practices. This group merges 'Compatibility', 'compatibility with IT infrastructure', 'Compatibility with IT infrastructures', 'System Compatibility', 'Technical compatibility', and 'Technology integration' which all denote congruence requirements.</t>
  </si>
  <si>
    <t>(Radhakrishnan &amp; Chattopadhyay, 2020), (Khanfar et al.,2024), (Khanfar et al.,2025), (Heimberger et al, 2024), Phuoc (2022), Alsheibani, S., Cheung, Y., &amp; Messom, C. (2018), Yuen et al (2020), Solaimani &amp; Swaak (2022)</t>
  </si>
  <si>
    <t>Organizational Readiness</t>
  </si>
  <si>
    <t>This macro-level construct aggregates factors concerning the firm's preparedness for AI implementation, encompassing 'Organizational readiness', 'AI readiness', 'Technical readiness', 'Financial readiness', and broader concepts like 'Resources and financial readiness', which collectively assess the internal capacity and infrastructure maturity.</t>
  </si>
  <si>
    <t>(Khanfar et al.,2024), (Khanfar et al.,2025), (Yang, Blount &amp; Amrollahi, 2024), Phuoc (2022), Suddin Lada et al. (2023), Ingalagi et al. (2021), Ayinaddis (2025)</t>
  </si>
  <si>
    <t>Perceived Usefulness / Performance Expectancy</t>
  </si>
  <si>
    <t>These are core constructs from the Technology Acceptance Model (TAM) and Unified Theory of Acceptance and Use of Technology (UTAUT), referring to the belief that using AI will enhance job performance or utility. 'Perceived usefulness' and 'Performance expectancy' are semantically identical in this context.</t>
  </si>
  <si>
    <t>(Khanfar et al.,2024), (Khanfar et al.,2025), (Pathak &amp; Bansal, 2024a) (figure 2), Kelly, Kaye &amp; Oviedo-Trespalacios (2023), Md. Mehedi Hasan Emon &amp; Tahsina Khan (2025), Solaimani &amp; Swaak (2022), Yuen et al (2020)</t>
  </si>
  <si>
    <t>Perceived Ease of Use / Effort Expectancy</t>
  </si>
  <si>
    <t>These are foundational constructs from the Technology Acceptance Model (TAM) and Unified Theory of Acceptance and Use of Technology (UTAUT), relating to the degree of effort required to use the AI system. 'Perceived ease of use' and 'Effort expectancy' capture this cognitive assessment of user-friendliness and effort conservation.</t>
  </si>
  <si>
    <t>Skilled Workforce / Competencies</t>
  </si>
  <si>
    <t>This determinant aggregates factors related to the human capital necessary for AI adoption and operation, including 'skill base', 'Availability of skilled staff', 'Skilled resources/experts', 'Skilled resources in the market', 'Skilled Workforce*', 'lack of AI skills', and 'Skills and competences'.</t>
  </si>
  <si>
    <t>(Radhakrishnan &amp; Chattopadhyay, 2020), (Khanfar et al.,2024), (Khanfar et al.,2025), (Heimberger et al, 2024), (Alsheiabni, Cheung &amp; Messom, AMCIS 2019), Ayinaddis (2025)</t>
  </si>
  <si>
    <t>Privacy and Security Concerns</t>
  </si>
  <si>
    <t>This critical factor groups 'privacy laws', 'Perceived data privacy &amp; security (AE6)', 'Security', 'Privacy', and 'security &amp; privacy', as they all pertain to the protection of sensitive data and system integrity.</t>
  </si>
  <si>
    <t>(Radhakrishnan &amp; Chattopadhyay, 2020), (Khanfar et al.,2025), (Pathak &amp; Bansal, 2024a) (figure 2), (Heimberger et al, 2024), (Alsheiabni, Cheung &amp; Messom, AMCIS 2019), Kelly, Kaye &amp; Oviedo-Trespalacios (2023)</t>
  </si>
  <si>
    <t>Trust in AI / Technology</t>
  </si>
  <si>
    <t>This category groups constructs related to the user's or organization's willingness to rely on the AI system, including 'Trust', 'Trust in technology', 'Trust in AI', and the sub-dimensions of trust: 'Trust - coginitive trust', 'Trust - affective trust', and 'Trust - social trust'.</t>
  </si>
  <si>
    <t>(Radhakrishnan &amp; Chattopadhyay, 2020), (Khanfar et al.,2024), (Khanfar et al.,2025), (Pathak &amp; Bansal, 2024a) (figure 2), (Heimberger et al, 2024), Kelly, Kaye &amp; Oviedo-Trespalacios (2023)</t>
  </si>
  <si>
    <t>Relative Advantage / Benefits</t>
  </si>
  <si>
    <t>This DOI-based construct refers to the degree to which an innovation is perceived as better than the idea it supersedes. It consolidates 'relative Advantage', 'Relative advantage', and 'Benefits of AI systems', focusing on the perceived positive outcomes of adoption.</t>
  </si>
  <si>
    <t>(Radhakrishnan &amp; Chattopadhyay, 2020), (Khanfar et al.,2025), Phuoc (2022), Alsheibani, S., Cheung, Y., &amp; Messom, C. (2018), Yuen et al (2020)</t>
  </si>
  <si>
    <t>External Support &amp; Collaboration</t>
  </si>
  <si>
    <t>This environmental factor combines external assistance, including 'external pressure' (as pressure often comes with support infrastructure), 'Cooperation', 'External support', 'Business partners support', and 'External support and collaboration'.</t>
  </si>
  <si>
    <t>(Radhakrishnan &amp; Chattopadhyay, 2020), (Heimberger et al, 2024), Suddin Lada et al. (2023), Ingalagi et al. (2021), Ayinaddis (2025)</t>
  </si>
  <si>
    <t>Organizational Size</t>
  </si>
  <si>
    <t>This structural factor relates to the scale of the firm, consolidating 'Firm size', 'Company Size', and 'Organizational size', as firm size often correlates with resource availability and bureaucracy.</t>
  </si>
  <si>
    <t>(Khanfar et al.,2025), (Heimberger et al, 2024), Phuoc (2022), Alsheibani, S., Cheung, Y., &amp; Messom, C. (2018)</t>
  </si>
  <si>
    <t>Social Influence / Normative Pressure</t>
  </si>
  <si>
    <t>This social determinant encompasses the effect of peers, community, and society on the adoption decision, grouping 'Social influence', 'Peer and community perceptions', 'Subjective norms (SD1)', and 'Normative pressure'.</t>
  </si>
  <si>
    <t>(Khanfar et al.,2024), (Khanfar et al.,2025), (Pathak &amp; Bansal, 2024a) (figure 2), Kelly, Kaye &amp; Oviedo-Trespalacios (2023), Md. Mehedi Hasan Emon &amp; Tahsina Khan (2025)</t>
  </si>
  <si>
    <t>Innovation Culture / Organizational Innovativeness</t>
  </si>
  <si>
    <t>This organizational factor reflects the climate that supports novelty and change, consolidating 'organizational innovativeness', 'Innovation culture', and 'Personal innovatiness' (as a proxy for organizational adoption driven by innovative staff), which all relate to the predisposition for accepting new technology.</t>
  </si>
  <si>
    <t>(Radhakrishnan &amp; Chattopadhyay, 2020), (Khanfar et al.,2024), (Khanfar et al.,2025), (Heimberger et al, 2024)</t>
  </si>
  <si>
    <t>Fear of Job Loss / Resistance to Change</t>
  </si>
  <si>
    <t>This individual-level barrier groups 'Fear of job loss', 'Resistance to use', 'employee fear of change', and 'Resistance to change'. These are manifestations of user or employee apprehension toward AI, stemming from perceived personal risk or disruption.</t>
  </si>
  <si>
    <t>(Khanfar et al.,2024), (Khanfar et al.,2025), (Alsheiabni, Cheung &amp; Messom, AMCIS 2019)</t>
  </si>
  <si>
    <t>Vendor Support &amp; Partnership</t>
  </si>
  <si>
    <t>This external factor relates to the assistance provided by AI suppliers, merging 'vendor support', 'AI vendor support', 'AI vendor availability', and 'Vendor partnership', which are all aspects of external service and collaboration.</t>
  </si>
  <si>
    <t>(Khanfar et al.,2024), (Khanfar et al.,2025), Phuoc (2022)</t>
  </si>
  <si>
    <t>System Complexity / Technical Complexity</t>
  </si>
  <si>
    <t>This technical determinant addresses the perceived difficulty of understanding and using the AI system, merging 'complexity', 'System Complexity', and 'Technical complexity', which pose significant barriers to adoption.</t>
  </si>
  <si>
    <t>Perceived Risk / Threat</t>
  </si>
  <si>
    <t>This individual-level construct captures user apprehension regarding potential negative outcomes from AI use, combining 'Risk perception', 'Perceived threat / risks', and 'Perceived risk and privacy concerns' (focusing on the risk aspect).</t>
  </si>
  <si>
    <t>(Khanfar et al.,2024), (Khanfar et al.,2025), Kelly, Kaye &amp; Oviedo-Trespalacios (2023)</t>
  </si>
  <si>
    <t>Organizational Financial Resources</t>
  </si>
  <si>
    <t>This resource-based factor focuses specifically on monetary resources for AI, combining 'Financial and technical resources' (focusing on financial), 'lack of funding', and 'Resources'.</t>
  </si>
  <si>
    <t>(Khanfar et al.,2024), (Alsheiabni, Cheung &amp; Messom, AMCIS 2019), Alsheibani, S., Cheung, Y., &amp; Messom, C. (2018)</t>
  </si>
  <si>
    <t>AI Governance / Ethical Guidelines</t>
  </si>
  <si>
    <t>This group addresses the formal structures and principles guiding AI implementation, merging 'AI governance structures', 'AI governance system', and 'Ethical Guidelines*'.</t>
  </si>
  <si>
    <t>(Khanfar et al.,2024), (Khanfar et al.,2025), (Heimberger et al, 2024)</t>
  </si>
  <si>
    <t>Market Uncertainty</t>
  </si>
  <si>
    <t>This environmental factor reflects the volatility and unpredictability of the market environment.</t>
  </si>
  <si>
    <t>Phuoc (2022), (Khanfar et al.,2025)</t>
  </si>
  <si>
    <t>Behavioral Intention</t>
  </si>
  <si>
    <t>This individual outcome variable is the direct precursor to adoption behavior.</t>
  </si>
  <si>
    <t>Md. Mehedi Hasan Emon &amp; Tahsina Khan (2025), Yuen et al (2020)</t>
  </si>
  <si>
    <t>Employee Adaptability</t>
  </si>
  <si>
    <t>This organizational factor measures the workforce's ability to adjust to AI implementation.</t>
  </si>
  <si>
    <t>Ingalagi et al. (2021), Suddin Lada et al. (2023)</t>
  </si>
  <si>
    <t>Cultural Context / Industry Norms</t>
  </si>
  <si>
    <t>This social/environmental factor relates to the influence of broad societal or industry standards, combining 'industry norms' and 'Cultural context'.</t>
  </si>
  <si>
    <t>(Khanfar et al.,2024), Kelly, Kaye &amp; Oviedo-Trespalacios (2023)</t>
  </si>
  <si>
    <t>Managerial Capabilities</t>
  </si>
  <si>
    <t>This factor assesses the competence of management in overseeing AI projects, grouping 'Managerial capability' and 'Managerial capabilities'.</t>
  </si>
  <si>
    <t>(Khanfar et al.,2025), Phuoc (2022)</t>
  </si>
  <si>
    <t>Individual Perceived Safety / Security</t>
  </si>
  <si>
    <t>This individual perception relates to the user's feeling of personal security when interacting with the AI system, combining 'Perceived safety' and its duplicate.</t>
  </si>
  <si>
    <t>(Khanfar et al.,2024), (Khanfar et al.,2025)</t>
  </si>
  <si>
    <t>Organizational Technical Competencies &amp; Resources</t>
  </si>
  <si>
    <t>This factor is a narrower view of organizational readiness, focusing on technical skills and assets, merging 'Technical competencies and resources', and the technical aspect of 'Financial and technical resources'.</t>
  </si>
  <si>
    <t>(Khanfar et al.,2024), Solaimani &amp; Swaak (2022)</t>
  </si>
  <si>
    <t>Technology Maturity</t>
  </si>
  <si>
    <t>This factor relates to the developmental stage of the AI system, grouping 'maturity of AI systems' and 'Maturity of the system'.</t>
  </si>
  <si>
    <t>Market Demand</t>
  </si>
  <si>
    <t>This environmental factor reflects the pull from the market for AI-enabled products or services.</t>
  </si>
  <si>
    <t>Task-Technology Fit</t>
  </si>
  <si>
    <t>This is a specific technological compatibility determinant, measuring how well the AI system's capabilities align with the demands of the user's task, consolidating its exact duplicates.</t>
  </si>
  <si>
    <t>System Reliability and Accuracy</t>
  </si>
  <si>
    <t>This technological factor addresses the quality and trustworthiness of the AI output, combining 'System reliability and accuracy' and its near-duplicate in the dataset.</t>
  </si>
  <si>
    <t>Technology Anxiety</t>
  </si>
  <si>
    <t>This individual psychological barrier is an exact duplicate, retaining both citations.</t>
  </si>
  <si>
    <t>Collaboration Culture</t>
  </si>
  <si>
    <t>This organizational/social factor relates to the internal environment for cooperative work, grouping 'Collaboration culture' and 'Collaboration and communication culture'.</t>
  </si>
  <si>
    <t>Existing/IT Infrastructure</t>
  </si>
  <si>
    <t>This fundamental technical factor relates to the current technological environment, merging 'existing infrastructure' and 'IT Infrastructure', both essential prerequisites for deploying AI.</t>
  </si>
  <si>
    <t>(Radhakrishnan &amp; Chattopadhyay, 2020), (Heimberger et al, 2024)</t>
  </si>
  <si>
    <t>Cost / Price Value</t>
  </si>
  <si>
    <t>This financial criterion groups 'cost of adoption', 'Costs of AI systems', and 'Price value (PD3)', as they all represent the economic barrier to adoption.</t>
  </si>
  <si>
    <t>(Radhakrishnan &amp; Chattopadhyay, 2020), (Khanfar et al.,2025), (Pathak &amp; Bansal, 2024a) (figure 2)</t>
  </si>
  <si>
    <t>Organizational Strategy</t>
  </si>
  <si>
    <t>This high-level organizational factor captures the planned approach to AI adoption, encompassing 'Organizational strategy and roadmap for AI;' and 'Strategic Orientation'.</t>
  </si>
  <si>
    <t>Observability / Result Demonstrability / Visibility</t>
  </si>
  <si>
    <t>These DOI terms refer to the degree to which the results of using the innovation are visible to others, grouped as they reflect the demonstrability of AI benefits.</t>
  </si>
  <si>
    <t>(Radhakrishnan &amp; Chattopadhyay, 2020), Yuen et al (2020)</t>
  </si>
  <si>
    <t>Digital Maturity / Technical Capabilities</t>
  </si>
  <si>
    <t>This factor relates to the organizational baseline level of technological sophistication, merging 'digital maturity' and 'limited technology capabilities'.</t>
  </si>
  <si>
    <t>(Radhakrishnan &amp; Chattopadhyay, 2020), (Alsheiabni, Cheung &amp; Messom, AMCIS 2019)</t>
  </si>
  <si>
    <t>Anthropomorphism &amp; Humanness</t>
  </si>
  <si>
    <t>This factor relates to the human-like design and characteristics of the AI system, merging 'Anthropomorphic design (AE5)' and 'Anthropomorphism &amp; perceived humanness'.</t>
  </si>
  <si>
    <t>(Pathak &amp; Bansal, 2024a) (figure 2), Kelly, Kaye &amp; Oviedo-Trespalacios (2023)</t>
  </si>
  <si>
    <t>Individual Self-efficacy</t>
  </si>
  <si>
    <t>This personal factor relates to an individual's belief in their ability to use the AI system successfully, consolidating 'Self-efficacy' and 'Technological self-efficacy (TP3)'.</t>
  </si>
  <si>
    <t>(Khanfar et al.,2024), (Khanfar et al.,2025), (Pathak &amp; Bansal, 2024a) (figure 2)</t>
  </si>
  <si>
    <t>Technolocal Turbulence</t>
  </si>
  <si>
    <t>This environmental factor relates to the rate of technological change in the industry.</t>
  </si>
  <si>
    <t>Technological Opportunism</t>
  </si>
  <si>
    <t>This organizational factor relates to proactively seeking new technological opportunities.</t>
  </si>
  <si>
    <t>Customer Orientation</t>
  </si>
  <si>
    <t>This organizational factor relates to the degree a firm focuses on customer needs.</t>
  </si>
  <si>
    <t>AI Adoption Intensity --&gt; Marketing Performance</t>
  </si>
  <si>
    <t>This is an outcome variable (AI's effect on performance) rather than a determinant of adoption.</t>
  </si>
  <si>
    <t>Organizational (Individual Level) Factors</t>
  </si>
  <si>
    <t>This includes 'Clarity of roles and responsibilities', 'Task complexity', 'Effective operations', and 'Technology implementation experience'. These represent organizational factors that directly impact individual users, grouped under a general category.</t>
  </si>
  <si>
    <t>This environmental factor reflects a firm's ethical commitment beyond regulations.</t>
  </si>
  <si>
    <t>Social Surroundings &amp; Community Impact</t>
  </si>
  <si>
    <t>This factor focuses on the broader societal context of AI use, encompassing 'Perceptions of social surroundings on AI systems', 'Perceptions of social surroundings on the individual (image)', and 'Impact on community'.</t>
  </si>
  <si>
    <t>Individual Personal Characteristics</t>
  </si>
  <si>
    <t>This includes 'Knowledge sharing tendency', 'Personal self-image', 'Personal development concern', 'Using system experience', 'ICT / AI knowlegde', and 'ICT competence'. These are internal traits influencing individual adoption behavior.</t>
  </si>
  <si>
    <t>Return on Investment / Benefits</t>
  </si>
  <si>
    <t>This specific measure of financial success is grouped with "Benefits of AI systems" (covered in Relative Advantage/Benefits) and retained separately to highlight the financial focus.</t>
  </si>
  <si>
    <t>Digital Maturity / Technological Capabilities</t>
  </si>
  <si>
    <t>This grouping combines 'Technology affordance' and 'Technology constraints' which represent the beneficial and limiting aspects of the technology itself.</t>
  </si>
  <si>
    <t>AI Service Quality / Experience</t>
  </si>
  <si>
    <t>This group relates to the quality of the AI service delivery and interaction, encompassing 'AI service experience (AE)', 'AI interaction quality (AE1)', 'AI Information quality (AE2)', and 'AI system quality (AE3)'.</t>
  </si>
  <si>
    <t>Personalization</t>
  </si>
  <si>
    <t>This service quality factor refers to the AI system's ability to tailor its output to the individual user.</t>
  </si>
  <si>
    <t>Hedonic Motivation</t>
  </si>
  <si>
    <t>This personal factor relates to the pleasure or enjoyment derived from using the AI.</t>
  </si>
  <si>
    <t>Habit</t>
  </si>
  <si>
    <t>This personal factor refers to the routine or automatic nature of using the AI system.</t>
  </si>
  <si>
    <t>Facilitating Conditions</t>
  </si>
  <si>
    <t>This factor, from UTAUT, relates to the perception that the necessary resources and support are available for use.</t>
  </si>
  <si>
    <t>(Pathak &amp; Bansal, 2024a) (figure 2), Md. Mehedi Hasan Emon &amp; Tahsina Khan (2025)</t>
  </si>
  <si>
    <t>Sociodemographic Factors</t>
  </si>
  <si>
    <t>This group captures 'Sociodemographic - experience (SD4.1)', 'Sociodemographic - age (SD4.2)', and 'Sociodemographic - education level (SD4.3)', which are demographic variables often used as control or predictor variables.</t>
  </si>
  <si>
    <t>Business Structure &amp; Characteristics</t>
  </si>
  <si>
    <t>This organizational group includes 'Performance Measures', 'Investment', 'Product Complexity', 'Batch Size', and 'R&amp;D Intensity', which are firm-specific structural attributes.</t>
  </si>
  <si>
    <t>Organizational Effectiveness Factors</t>
  </si>
  <si>
    <t>This organizational group includes 'Change Management', 'Strategic Promoter', 'Strategic Orientation', 'Education and Training', and 'Mindset', which pertain to the firm's non-structural capacity for change.</t>
  </si>
  <si>
    <t>This is a general term for ease of use. It is closely related to PEOU/EE but is retained separately due to its specific use in the source.</t>
  </si>
  <si>
    <t>This technical factor relates to the physical or operational security of the AI system, distinct from data security.</t>
  </si>
  <si>
    <t>Industrial Sector / Country</t>
  </si>
  <si>
    <t>This is an environmental factor relating to the industry and national context of the adopting firm.</t>
  </si>
  <si>
    <t>Data Availability / Management</t>
  </si>
  <si>
    <t>This technical factor relates to the presence and quality of data required for AI, grouping 'Data Availability*', 'Data Consistency', 'Data Governance', 'Data Interoperability', 'Data Processing', 'Data Analytics', and 'Data Storage'.</t>
  </si>
  <si>
    <t>Consumer Trust</t>
  </si>
  <si>
    <t>This environmental factor reflects the general public or customer confidence in AI.</t>
  </si>
  <si>
    <t>Regulatory Acceptance</t>
  </si>
  <si>
    <t>This environmental factor reflects the general industry or public acceptance of new regulations related to AI.</t>
  </si>
  <si>
    <t>Unclear Business Case</t>
  </si>
  <si>
    <t>This organizational barrier is retained to represent the lack of clear financial or strategic justification for AI adoption.</t>
  </si>
  <si>
    <t>Lack of Top Management Support</t>
  </si>
  <si>
    <t>This barrier is a negative instantiation of Top Management Support. While related, it is retained separately to highlight the nature of the finding (barrier vs. enabler).</t>
  </si>
  <si>
    <t>This organizational factor is retained as a duplicate, though it is closely related to Top Management Support.</t>
  </si>
  <si>
    <t>This direct measure of user disposition toward the technology is retained.</t>
  </si>
  <si>
    <t>Perceived Control</t>
  </si>
  <si>
    <t>This psychological factor relates to the user's feeling of having agency over the AI system and its outcomes.</t>
  </si>
  <si>
    <t>Preference for Human Interaction</t>
  </si>
  <si>
    <t>This service-related determinant represents a user preference that acts as a barrier to AI service adoption.</t>
  </si>
  <si>
    <t>This individual factor from UTAUT measures the degree to which use is perceived as optional.</t>
  </si>
  <si>
    <t>This individual factor relates to the status or social standing gained by using the AI.</t>
  </si>
  <si>
    <t>This DOI factor refers to the ability to experiment with the AI on a limited basis.</t>
  </si>
  <si>
    <t>Oursourcing Certainty</t>
  </si>
  <si>
    <t>This organizational factor relates to the level of certainty in outsourcing decisions.</t>
  </si>
  <si>
    <t>Trading Partner Leverage</t>
  </si>
  <si>
    <t>This environmental factor relates to the influence of supply chain partners on AI adoption.</t>
  </si>
  <si>
    <t>Organizational Compatibility</t>
  </si>
  <si>
    <t>This organizational factor is retained to refer to non-technical, cultural fit.</t>
  </si>
  <si>
    <t>Adoption Criterion (Combined)</t>
  </si>
  <si>
    <t>Combined Authors/Sources</t>
  </si>
  <si>
    <t>AI Governance/Ethics/Regulations</t>
  </si>
  <si>
    <t>(Khanfar et al.,2024), (Khanfar et al.,2025), (Heimberger et al, 2024), Alsheibani, S., Cheung, Y., &amp; Messom, C. (2018)</t>
  </si>
  <si>
    <t>Collaboration/Innovation Culture</t>
  </si>
  <si>
    <t>Compatibility (Technical/Organizational)</t>
  </si>
  <si>
    <t>(Khanfar et al.,2025), Alsheibani, S., Cheung, Y., &amp; Messom, C. (2018), Yuen et al (2020), Solaimani &amp; Swaak (2022)</t>
  </si>
  <si>
    <t>Competitive/Market Pressure</t>
  </si>
  <si>
    <t>(Khanfar et al.,2025), (Yang, Blount &amp; Amrollahi, 2024), Phuoc (2022), Suddin Lada et al. (2023) (focus on SMEs), Alsheibani, S., Cheung, Y., &amp; Messom, C. (2018), Ingalagi et al. (2021), Ayinaddis (2025)</t>
  </si>
  <si>
    <t>Cultural context</t>
  </si>
  <si>
    <t>Suddin Lada et al. (2023), Ingalagi et al. (2021)</t>
  </si>
  <si>
    <t>Financial/Technical Resources</t>
  </si>
  <si>
    <t>Managerial Capabilities/Expertise</t>
  </si>
  <si>
    <t>(Khanfar et al.,2024), (Khanfar et al.,2025), Phuoc (2022), Suddin Lada et al. (2023), Ingalagi et al. (2021)</t>
  </si>
  <si>
    <t>Perceived Risk &amp; Privacy/Security</t>
  </si>
  <si>
    <t>Perceived Usefulness &amp; Ease of Use (TAM/UTAUT)</t>
  </si>
  <si>
    <t>(Khanfar et al.,2024), (Khanfar et al.,2025), (Pathak &amp; Bansal, 2024a) (figure 2), Kelly, Kaye &amp; Oviedo-Trespalacios (2023), Yuen et al (2020), Solaimani &amp; Swaak (2022)</t>
  </si>
  <si>
    <t>Propensity to adopt</t>
  </si>
  <si>
    <t>Quality of decision-making</t>
  </si>
  <si>
    <t>Relative Advantage</t>
  </si>
  <si>
    <t>Alsheibani, S., Cheung, Y., &amp; Messom, C. (2018), Yuen et al (2020)</t>
  </si>
  <si>
    <t>Rewards and incentives</t>
  </si>
  <si>
    <t>Risk aversion</t>
  </si>
  <si>
    <t>Staff Skills &amp; Training</t>
  </si>
  <si>
    <t>(Khanfar et al.,2025), (Heimberger et al, 2024)</t>
  </si>
  <si>
    <t>Structural Dimension (SD)</t>
  </si>
  <si>
    <t>Sustainability</t>
  </si>
  <si>
    <t>System quality</t>
  </si>
  <si>
    <t>Technology Complexity</t>
  </si>
  <si>
    <t>Technology complexity</t>
  </si>
  <si>
    <t>Technology features/characteristics</t>
  </si>
  <si>
    <t>Technology infrastructure</t>
  </si>
  <si>
    <t>Technology maturity and availability</t>
  </si>
  <si>
    <t>(Khanfar et al.,2024), Ayinaddis (2025), (Heimberger et al, 2024), Phuoc (2022)</t>
  </si>
  <si>
    <t>Trust in the system</t>
  </si>
  <si>
    <t>Visibility / Observability</t>
  </si>
  <si>
    <t>Adoption Criteria</t>
  </si>
  <si>
    <t>Sources</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</si>
</sst>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color theme="1"/>
      <name val="Arial"/>
      <scheme val="minor"/>
    </font>
    <font>
      <color rgb="FF1C1D1E"/>
      <name val="&quot;Open Sans&quot;"/>
    </font>
    <font>
      <u/>
      <color rgb="FF0000FF"/>
      <name val="Roboto"/>
    </font>
    <font>
      <u/>
      <sz val="12.0"/>
      <color rgb="FF000000"/>
      <name val="Times"/>
    </font>
    <font>
      <sz val="10.0"/>
      <color theme="1"/>
      <name val="Roboto"/>
    </font>
    <font>
      <u/>
      <color rgb="FF0000FF"/>
      <name val="Roboto"/>
    </font>
    <font>
      <b/>
      <color theme="1"/>
      <name val="Arial"/>
      <scheme val="minor"/>
    </font>
    <font>
      <u/>
      <color rgb="FF434343"/>
      <name val="Roboto"/>
    </font>
    <font>
      <color theme="1"/>
      <name val="ElsevierGulliver"/>
    </font>
    <font>
      <color rgb="FF555555"/>
      <name val="&quot;Sage Peak&quot;"/>
    </font>
    <font>
      <color rgb="FF555555"/>
      <name val="Arial"/>
    </font>
    <font>
      <color rgb="FF323232"/>
      <name val="&quot;Nexus Serif Pro&quot;"/>
    </font>
    <font>
      <color rgb="FF323232"/>
      <name val="Arial"/>
    </font>
    <font>
      <u/>
      <color rgb="FF0000FF"/>
      <name val="Roboto"/>
    </font>
    <font>
      <u/>
      <color rgb="FF0000FF"/>
      <name val="Roboto"/>
    </font>
    <font>
      <sz val="10.0"/>
      <color rgb="FF000000"/>
      <name val="Roboto"/>
    </font>
    <font>
      <sz val="10.0"/>
      <color theme="1"/>
      <name val="Arial"/>
      <scheme val="minor"/>
    </font>
  </fonts>
  <fills count="5">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rgb="FFF7F8FA"/>
        <bgColor rgb="FFF7F8FA"/>
      </patternFill>
    </fill>
  </fills>
  <borders count="1">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 numFmtId="0" xfId="0" applyAlignment="1" applyFont="1">
      <alignment horizontal="left" readingOrder="0" shrinkToFit="0" vertical="center" wrapText="0"/>
    </xf>
    <xf borderId="0" fillId="2" fontId="2" numFmtId="0" xfId="0" applyAlignment="1" applyFill="1" applyFon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xf borderId="0" fillId="0" fontId="4" numFmtId="0" xfId="0" applyAlignment="1" applyFont="1">
      <alignment readingOrder="0" shrinkToFit="0" vertical="center" wrapText="0"/>
    </xf>
    <xf borderId="0" fillId="0" fontId="5" numFmtId="0" xfId="0" applyAlignment="1" applyFont="1">
      <alignment readingOrder="0" shrinkToFit="0" vertical="center" wrapText="1"/>
    </xf>
    <xf borderId="0" fillId="0" fontId="6" numFmtId="0" xfId="0" applyAlignment="1" applyFont="1">
      <alignment readingOrder="0" shrinkToFit="0" vertical="center" wrapText="0"/>
    </xf>
    <xf borderId="0" fillId="0" fontId="7" numFmtId="0" xfId="0" applyAlignment="1" applyFont="1">
      <alignment readingOrder="0" shrinkToFit="0" vertical="center" wrapText="0"/>
    </xf>
    <xf borderId="0" fillId="0" fontId="8" numFmtId="0" xfId="0" applyAlignment="1" applyFont="1">
      <alignment readingOrder="0" shrinkToFit="0" vertical="center" wrapText="0"/>
    </xf>
    <xf borderId="0" fillId="0" fontId="5" numFmtId="0" xfId="0" applyAlignment="1" applyFont="1">
      <alignment shrinkToFit="0" vertical="center" wrapText="0"/>
    </xf>
    <xf borderId="0" fillId="0" fontId="9" numFmtId="0" xfId="0" applyAlignment="1" applyFont="1">
      <alignment readingOrder="0" shrinkToFit="0" vertical="center" wrapText="0"/>
    </xf>
    <xf borderId="0" fillId="0" fontId="5" numFmtId="0" xfId="0" applyAlignment="1" applyFont="1">
      <alignment readingOrder="0" shrinkToFit="0" vertical="center" wrapText="1"/>
    </xf>
    <xf borderId="0" fillId="0" fontId="7" numFmtId="0" xfId="0" applyAlignment="1" applyFont="1">
      <alignment readingOrder="0" shrinkToFit="0" vertical="center" wrapText="1"/>
    </xf>
    <xf borderId="0" fillId="0" fontId="1" numFmtId="0" xfId="0" applyAlignment="1" applyFont="1">
      <alignment horizontal="right" readingOrder="0" shrinkToFit="0" vertical="center" wrapText="0"/>
    </xf>
    <xf borderId="0" fillId="0" fontId="1" numFmtId="0" xfId="0" applyAlignment="1" applyFont="1">
      <alignment readingOrder="0" shrinkToFit="0" vertical="center" wrapText="1"/>
    </xf>
    <xf borderId="0" fillId="0" fontId="5" numFmtId="0" xfId="0" applyAlignment="1" applyFont="1">
      <alignment readingOrder="0" shrinkToFit="0" vertical="center" wrapText="1"/>
    </xf>
    <xf borderId="0" fillId="2" fontId="10"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2" fontId="11" numFmtId="0" xfId="0" applyAlignment="1" applyFont="1">
      <alignment horizontal="left" readingOrder="0" shrinkToFit="0" vertical="center" wrapText="1"/>
    </xf>
    <xf borderId="0" fillId="0" fontId="1" numFmtId="0" xfId="0" applyAlignment="1" applyFont="1">
      <alignment readingOrder="0" shrinkToFit="0" vertical="center" wrapText="1"/>
    </xf>
    <xf borderId="0" fillId="3" fontId="12" numFmtId="0" xfId="0" applyAlignment="1" applyFill="1" applyFont="1">
      <alignment readingOrder="0" shrinkToFit="0" vertical="center" wrapText="0"/>
    </xf>
    <xf borderId="0" fillId="4" fontId="13" numFmtId="0" xfId="0" applyAlignment="1" applyFill="1" applyFont="1">
      <alignment readingOrder="0" shrinkToFit="0" vertical="center" wrapText="0"/>
    </xf>
    <xf borderId="0" fillId="0" fontId="14" numFmtId="0" xfId="0" applyAlignment="1" applyFont="1">
      <alignment readingOrder="0" shrinkToFit="0" vertical="center" wrapText="0"/>
    </xf>
    <xf borderId="0" fillId="0" fontId="15" numFmtId="0" xfId="0" applyAlignment="1" applyFont="1">
      <alignment readingOrder="0" shrinkToFit="0" vertical="center" wrapText="0"/>
    </xf>
    <xf borderId="0" fillId="0" fontId="1" numFmtId="0" xfId="0" applyAlignment="1" applyFont="1">
      <alignment shrinkToFit="0" vertical="center" wrapText="0"/>
    </xf>
    <xf borderId="0" fillId="0" fontId="7" numFmtId="0" xfId="0" applyAlignment="1" applyFont="1">
      <alignment readingOrder="0"/>
    </xf>
    <xf borderId="0" fillId="0" fontId="1" numFmtId="0" xfId="0" applyAlignment="1" applyFont="1">
      <alignment readingOrder="0"/>
    </xf>
    <xf borderId="0" fillId="0" fontId="1" numFmtId="0" xfId="0" applyAlignment="1" applyFont="1">
      <alignment readingOrder="0"/>
    </xf>
    <xf borderId="0" fillId="0" fontId="7" numFmtId="0" xfId="0" applyAlignment="1" applyFont="1">
      <alignment horizontal="left" readingOrder="0" shrinkToFit="0" vertical="center" wrapText="0"/>
    </xf>
    <xf borderId="0" fillId="0" fontId="7" numFmtId="49" xfId="0" applyAlignment="1" applyFont="1" applyNumberFormat="1">
      <alignment horizontal="left" readingOrder="0" shrinkToFit="0" vertical="center" wrapText="1"/>
    </xf>
    <xf borderId="0" fillId="0" fontId="7" numFmtId="0" xfId="0" applyAlignment="1" applyFont="1">
      <alignment horizontal="left" readingOrder="0" shrinkToFit="0" vertical="center" wrapText="1"/>
    </xf>
    <xf borderId="0" fillId="0" fontId="1" numFmtId="0" xfId="0" applyAlignment="1" applyFont="1">
      <alignment shrinkToFit="0" vertical="center" wrapText="1"/>
    </xf>
    <xf borderId="0" fillId="0" fontId="1" numFmtId="0" xfId="0" applyAlignment="1" applyFont="1">
      <alignment shrinkToFit="0" wrapText="1"/>
    </xf>
    <xf borderId="0" fillId="0" fontId="16" numFmtId="0" xfId="0" applyAlignment="1" applyFont="1">
      <alignment readingOrder="0" shrinkToFit="0" vertical="center" wrapText="0"/>
    </xf>
    <xf borderId="0" fillId="0" fontId="17" numFmtId="0" xfId="0" applyAlignment="1" applyFont="1">
      <alignment readingOrder="0" shrinkToFit="0" vertical="center" wrapText="0"/>
    </xf>
    <xf borderId="0" fillId="0" fontId="17" numFmtId="0" xfId="0" applyAlignment="1" applyFont="1">
      <alignment readingOrder="0" shrinkToFit="0" vertical="center" wrapText="0"/>
    </xf>
    <xf borderId="0" fillId="0" fontId="7" numFmtId="0" xfId="0" applyAlignment="1" applyFont="1">
      <alignmen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0" xfId="0" applyAlignment="1" applyFont="1">
      <alignment shrinkToFit="0" vertical="center" wrapText="0"/>
    </xf>
    <xf borderId="0" fillId="0" fontId="1" numFmtId="0" xfId="0" applyAlignment="1" applyFont="1">
      <alignment shrinkToFit="0" vertical="center" wrapText="1"/>
    </xf>
    <xf borderId="0" fillId="0" fontId="1" numFmtId="0" xfId="0" applyAlignment="1" applyFont="1">
      <alignment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0"/>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535FC1"/>
          <bgColor rgb="FF535FC1"/>
        </patternFill>
      </fill>
      <border/>
    </dxf>
  </dxfs>
  <tableStyles count="6">
    <tableStyle count="4" pivot="0" name="Papers-style">
      <tableStyleElement dxfId="1" type="headerRow"/>
      <tableStyleElement dxfId="2" type="firstRowStripe"/>
      <tableStyleElement dxfId="3" type="secondRowStripe"/>
      <tableStyleElement dxfId="4" size="0" type="wholeTable"/>
    </tableStyle>
    <tableStyle count="4" pivot="0" name="Adoption frameworks-style">
      <tableStyleElement dxfId="1" type="headerRow"/>
      <tableStyleElement dxfId="2" type="firstRowStripe"/>
      <tableStyleElement dxfId="3" type="secondRowStripe"/>
      <tableStyleElement dxfId="4" size="0" type="wholeTable"/>
    </tableStyle>
    <tableStyle count="4" pivot="0" name="Determinants of AI adoption-style">
      <tableStyleElement dxfId="1" type="headerRow"/>
      <tableStyleElement dxfId="2" type="firstRowStripe"/>
      <tableStyleElement dxfId="3" type="secondRowStripe"/>
      <tableStyleElement dxfId="4" size="0" type="wholeTable"/>
    </tableStyle>
    <tableStyle count="4" pivot="0" name="Combined criteria extended-style">
      <tableStyleElement dxfId="5" type="headerRow"/>
      <tableStyleElement dxfId="2" type="firstRowStripe"/>
      <tableStyleElement dxfId="3" type="secondRowStripe"/>
      <tableStyleElement dxfId="4" size="0" type="wholeTable"/>
    </tableStyle>
    <tableStyle count="4" pivot="0" name="Combined criteria brief-style">
      <tableStyleElement dxfId="5" type="headerRow"/>
      <tableStyleElement dxfId="2" type="firstRowStripe"/>
      <tableStyleElement dxfId="3" type="secondRowStripe"/>
      <tableStyleElement dxfId="4" size="0" type="wholeTable"/>
    </tableStyle>
    <tableStyle count="4" pivot="0" name="Ranked combined criteria-style">
      <tableStyleElement dxfId="5"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523875</xdr:colOff>
      <xdr:row>45</xdr:row>
      <xdr:rowOff>200025</xdr:rowOff>
    </xdr:from>
    <xdr:ext cx="8848725" cy="69627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37</xdr:row>
      <xdr:rowOff>57150</xdr:rowOff>
    </xdr:from>
    <xdr:ext cx="6981825" cy="19812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32" displayName="Paper_selection" name="Paper_selection" id="1">
  <tableColumns count="7">
    <tableColumn name="Search string" id="1"/>
    <tableColumn name="Title" id="2"/>
    <tableColumn name="Author" id="3"/>
    <tableColumn name="Year" id="4"/>
    <tableColumn name="Link" id="5"/>
    <tableColumn name="Link to doc" id="6"/>
    <tableColumn name="Short description" id="7"/>
  </tableColumns>
  <tableStyleInfo name="Papers-style" showColumnStripes="0" showFirstColumn="1" showLastColumn="1" showRowStripes="1"/>
</table>
</file>

<file path=xl/tables/table2.xml><?xml version="1.0" encoding="utf-8"?>
<table xmlns="http://schemas.openxmlformats.org/spreadsheetml/2006/main" ref="A1:F31" displayName="Adoption_frameworks" name="Adoption_frameworks" id="2">
  <tableColumns count="6">
    <tableColumn name="Theories / frameworks for AI adoption" id="1"/>
    <tableColumn name="Abbreviation" id="2"/>
    <tableColumn name="Level" id="3"/>
    <tableColumn name="Application Area" id="4"/>
    <tableColumn name="Authors" id="5"/>
    <tableColumn name="Explanation" id="6"/>
  </tableColumns>
  <tableStyleInfo name="Adoption frameworks-style" showColumnStripes="0" showFirstColumn="1" showLastColumn="1" showRowStripes="1"/>
</table>
</file>

<file path=xl/tables/table3.xml><?xml version="1.0" encoding="utf-8"?>
<table xmlns="http://schemas.openxmlformats.org/spreadsheetml/2006/main" ref="A1:C253" displayName="Determinants_of_AI_adoption" name="Determinants_of_AI_adoption" id="3">
  <tableColumns count="3">
    <tableColumn name="Adoption factors / Determinants" id="1"/>
    <tableColumn name="Authors" id="2"/>
    <tableColumn name="Level" id="3"/>
  </tableColumns>
  <tableStyleInfo name="Determinants of AI adoption-style" showColumnStripes="0" showFirstColumn="1" showLastColumn="1" showRowStripes="1"/>
</table>
</file>

<file path=xl/tables/table4.xml><?xml version="1.0" encoding="utf-8"?>
<table xmlns="http://schemas.openxmlformats.org/spreadsheetml/2006/main" ref="A1:F78" displayName="Table7" name="Table7" id="4">
  <tableColumns count="6">
    <tableColumn name="Rank" id="1"/>
    <tableColumn name="Consolidated Criterion" id="2"/>
    <tableColumn name="Frequency" id="3"/>
    <tableColumn name="Clustering Rationale" id="4"/>
    <tableColumn name="Column 6" id="5"/>
    <tableColumn name="List of Authors" id="6"/>
  </tableColumns>
  <tableStyleInfo name="Combined criteria extended-style" showColumnStripes="0" showFirstColumn="1" showLastColumn="1" showRowStripes="1"/>
</table>
</file>

<file path=xl/tables/table5.xml><?xml version="1.0" encoding="utf-8"?>
<table xmlns="http://schemas.openxmlformats.org/spreadsheetml/2006/main" ref="A1:B114" displayName="Combined_Criteria_2" name="Combined_Criteria_2" id="5">
  <tableColumns count="2">
    <tableColumn name="Adoption Criterion (Combined)" id="1"/>
    <tableColumn name="Combined Authors/Sources" id="2"/>
  </tableColumns>
  <tableStyleInfo name="Combined criteria brief-style" showColumnStripes="0" showFirstColumn="1" showLastColumn="1" showRowStripes="1"/>
</table>
</file>

<file path=xl/tables/table6.xml><?xml version="1.0" encoding="utf-8"?>
<table xmlns="http://schemas.openxmlformats.org/spreadsheetml/2006/main" ref="A1:D113" displayName="Ranked_Combined_Criteria" name="Ranked_Combined_Criteria" id="6">
  <tableColumns count="4">
    <tableColumn name="Rank" id="1"/>
    <tableColumn name="Adoption Criteria" id="2"/>
    <tableColumn name="Frequency" id="3"/>
    <tableColumn name="Sources" id="4"/>
  </tableColumns>
  <tableStyleInfo name="Ranked combined criteri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i.org/10.3389/fpsyg.2022.975307" TargetMode="External"/><Relationship Id="rId42" Type="http://schemas.openxmlformats.org/officeDocument/2006/relationships/hyperlink" Target="https://iopscience.iop.org/article/10.1088/1757-899X/1049/1/012017/pdf" TargetMode="External"/><Relationship Id="rId41" Type="http://schemas.openxmlformats.org/officeDocument/2006/relationships/hyperlink" Target="https://docs.google.com/document/d/1SPwaOyDtTSxfXSKOXgxBCxpCaR2GA3MWDR4hiRhuQ-8/edit?tab=t.0" TargetMode="External"/><Relationship Id="rId44" Type="http://schemas.openxmlformats.org/officeDocument/2006/relationships/hyperlink" Target="https://doi.org/10.1007/s00146-024-01987-z" TargetMode="External"/><Relationship Id="rId43" Type="http://schemas.openxmlformats.org/officeDocument/2006/relationships/hyperlink" Target="https://docs.google.com/document/d/1SPwaOyDtTSxfXSKOXgxBCxpCaR2GA3MWDR4hiRhuQ-8/edit?tab=t.0" TargetMode="External"/><Relationship Id="rId46" Type="http://schemas.openxmlformats.org/officeDocument/2006/relationships/hyperlink" Target="https://doi.org/10.1080/09537325.2020.1826423" TargetMode="External"/><Relationship Id="rId45" Type="http://schemas.openxmlformats.org/officeDocument/2006/relationships/hyperlink" Target="https://docs.google.com/document/d/1SPwaOyDtTSxfXSKOXgxBCxpCaR2GA3MWDR4hiRhuQ-8/edit?tab=t.0" TargetMode="External"/><Relationship Id="rId1" Type="http://schemas.openxmlformats.org/officeDocument/2006/relationships/hyperlink" Target="https://doi.org/10.1002/mar.21491" TargetMode="External"/><Relationship Id="rId2" Type="http://schemas.openxmlformats.org/officeDocument/2006/relationships/hyperlink" Target="https://docs.google.com/document/d/1SPwaOyDtTSxfXSKOXgxBCxpCaR2GA3MWDR4hiRhuQ-8/edit?tab=t.0" TargetMode="External"/><Relationship Id="rId3" Type="http://schemas.openxmlformats.org/officeDocument/2006/relationships/hyperlink" Target="https://doi.org/10.1007/s10799-024-00436-z" TargetMode="External"/><Relationship Id="rId4" Type="http://schemas.openxmlformats.org/officeDocument/2006/relationships/hyperlink" Target="https://docs.google.com/document/d/1SPwaOyDtTSxfXSKOXgxBCxpCaR2GA3MWDR4hiRhuQ-8/edit?tab=t.0" TargetMode="External"/><Relationship Id="rId9" Type="http://schemas.openxmlformats.org/officeDocument/2006/relationships/hyperlink" Target="https://link.springer.com/content/pdf/10.1007/s10799-024-00435-0.pdf" TargetMode="External"/><Relationship Id="rId48" Type="http://schemas.openxmlformats.org/officeDocument/2006/relationships/hyperlink" Target="http://dx.doi.org/10.2139/ssrn.4234144" TargetMode="External"/><Relationship Id="rId47" Type="http://schemas.openxmlformats.org/officeDocument/2006/relationships/hyperlink" Target="https://docs.google.com/document/d/1SPwaOyDtTSxfXSKOXgxBCxpCaR2GA3MWDR4hiRhuQ-8/edit?tab=t.0" TargetMode="External"/><Relationship Id="rId49" Type="http://schemas.openxmlformats.org/officeDocument/2006/relationships/hyperlink" Target="https://docs.google.com/document/d/1SPwaOyDtTSxfXSKOXgxBCxpCaR2GA3MWDR4hiRhuQ-8/edit?tab=t.0" TargetMode="External"/><Relationship Id="rId5" Type="http://schemas.openxmlformats.org/officeDocument/2006/relationships/hyperlink" Target="https://cmr.berkeley.edu/assets/documents/pdf/2025-08-adoption-of-ai-and-agentic-systems-value-challenges-and-pathways.pdf" TargetMode="External"/><Relationship Id="rId6" Type="http://schemas.openxmlformats.org/officeDocument/2006/relationships/hyperlink" Target="https://docs.google.com/document/d/1SPwaOyDtTSxfXSKOXgxBCxpCaR2GA3MWDR4hiRhuQ-8/edit?tab=t.0" TargetMode="External"/><Relationship Id="rId7" Type="http://schemas.openxmlformats.org/officeDocument/2006/relationships/hyperlink" Target="https://inria.hal.science/hal-03701824/document" TargetMode="External"/><Relationship Id="rId8" Type="http://schemas.openxmlformats.org/officeDocument/2006/relationships/hyperlink" Target="https://docs.google.com/document/d/1SPwaOyDtTSxfXSKOXgxBCxpCaR2GA3MWDR4hiRhuQ-8/edit?tab=t.0" TargetMode="External"/><Relationship Id="rId31" Type="http://schemas.openxmlformats.org/officeDocument/2006/relationships/hyperlink" Target="https://docs.google.com/document/d/1SPwaOyDtTSxfXSKOXgxBCxpCaR2GA3MWDR4hiRhuQ-8/edit?tab=t.0" TargetMode="External"/><Relationship Id="rId30" Type="http://schemas.openxmlformats.org/officeDocument/2006/relationships/hyperlink" Target="https://doi.org/10.1016/j.joitmc.2023.100144" TargetMode="External"/><Relationship Id="rId33" Type="http://schemas.openxmlformats.org/officeDocument/2006/relationships/hyperlink" Target="https://docs.google.com/document/d/1SPwaOyDtTSxfXSKOXgxBCxpCaR2GA3MWDR4hiRhuQ-8/edit?tab=t.0" TargetMode="External"/><Relationship Id="rId32" Type="http://schemas.openxmlformats.org/officeDocument/2006/relationships/hyperlink" Target="https://iimidr.ac.in/wp-content/uploads/2019/12/Vol6-2RETMTA.pdf" TargetMode="External"/><Relationship Id="rId35" Type="http://schemas.openxmlformats.org/officeDocument/2006/relationships/hyperlink" Target="https://docs.google.com/document/d/1SPwaOyDtTSxfXSKOXgxBCxpCaR2GA3MWDR4hiRhuQ-8/edit?tab=t.0" TargetMode="External"/><Relationship Id="rId34" Type="http://schemas.openxmlformats.org/officeDocument/2006/relationships/hyperlink" Target="https://researchmgt.monash.edu/ws/portalfiles/portal/273209396/254798983_oa.pdf" TargetMode="External"/><Relationship Id="rId37" Type="http://schemas.openxmlformats.org/officeDocument/2006/relationships/hyperlink" Target="https://docs.google.com/document/d/1SPwaOyDtTSxfXSKOXgxBCxpCaR2GA3MWDR4hiRhuQ-8/edit?tab=t.0" TargetMode="External"/><Relationship Id="rId36" Type="http://schemas.openxmlformats.org/officeDocument/2006/relationships/hyperlink" Target="https://doi.org/10.1007/s10799-024-00422-5" TargetMode="External"/><Relationship Id="rId39" Type="http://schemas.openxmlformats.org/officeDocument/2006/relationships/hyperlink" Target="https://docs.google.com/document/d/1SPwaOyDtTSxfXSKOXgxBCxpCaR2GA3MWDR4hiRhuQ-8/edit?tab=t.0" TargetMode="External"/><Relationship Id="rId38" Type="http://schemas.openxmlformats.org/officeDocument/2006/relationships/hyperlink" Target="https://doi.org/10.1016/j.procs.2024.05.172" TargetMode="External"/><Relationship Id="rId20" Type="http://schemas.openxmlformats.org/officeDocument/2006/relationships/hyperlink" Target="http://doi.org/10.26480/imcs.02.2023.55.61" TargetMode="External"/><Relationship Id="rId22" Type="http://schemas.openxmlformats.org/officeDocument/2006/relationships/hyperlink" Target="https://doi.org/10.1016/j.tele.2022.101925" TargetMode="External"/><Relationship Id="rId21" Type="http://schemas.openxmlformats.org/officeDocument/2006/relationships/hyperlink" Target="https://docs.google.com/document/d/1SPwaOyDtTSxfXSKOXgxBCxpCaR2GA3MWDR4hiRhuQ-8/edit?tab=t.0" TargetMode="External"/><Relationship Id="rId24" Type="http://schemas.openxmlformats.org/officeDocument/2006/relationships/hyperlink" Target="https://d1wqtxts1xzle7.cloudfront.net/74299786/b912ca610748e5d264c3ffed6be01e7cd39e-libre.pdf?1636281744=&amp;response-content-disposition=inline%3B+filename%3DTheory_of_Planned_Behavior_and_Reasoned.pdf&amp;Expires=1762340467&amp;Signature=hB1m5saToQp4JypL-DTifghjfuZbRG3DmFcCEAQBgH17Uby7oegaYMvWikECmKrucgzLyvb5isHopHX0gYrtMbb8-q4mcly4QOZVHztzvkrYJTILt4RypLHWcOwIWZ7ye~2aDnif~JsmLJ-97N4i8lxd60E15iJ0dgb0vY6oofpSrRmfAHuB1LOKMGCZXHpbF-KqWvxHwmano8kcSru6cj8iiqg5H1MDzDTi5fDWnURvtUshDAHJHj2rMF83bluKnOPE8OrZ0Xyf4y8BwAi9PMsIngHeYfJop8VyiFJjGgSR79iEKfRvWMn4j8wgxc515KVRkUo1g-VAx1RFrCJDFQ__&amp;Key-Pair-Id=APKAJLOHF5GGSLRBV4ZA" TargetMode="External"/><Relationship Id="rId23" Type="http://schemas.openxmlformats.org/officeDocument/2006/relationships/hyperlink" Target="https://docs.google.com/document/d/1SPwaOyDtTSxfXSKOXgxBCxpCaR2GA3MWDR4hiRhuQ-8/edit?tab=t.0" TargetMode="External"/><Relationship Id="rId26" Type="http://schemas.openxmlformats.org/officeDocument/2006/relationships/hyperlink" Target="https://doi.org/10.3390/economies10060129" TargetMode="External"/><Relationship Id="rId25" Type="http://schemas.openxmlformats.org/officeDocument/2006/relationships/hyperlink" Target="https://doi.org/10.1177/09726225221124035" TargetMode="External"/><Relationship Id="rId28" Type="http://schemas.openxmlformats.org/officeDocument/2006/relationships/hyperlink" Target="https://doi.org/10.1016/j.teler.2025.100188" TargetMode="External"/><Relationship Id="rId27" Type="http://schemas.openxmlformats.org/officeDocument/2006/relationships/hyperlink" Target="https://docs.google.com/document/d/1SPwaOyDtTSxfXSKOXgxBCxpCaR2GA3MWDR4hiRhuQ-8/edit?tab=t.0" TargetMode="External"/><Relationship Id="rId29" Type="http://schemas.openxmlformats.org/officeDocument/2006/relationships/hyperlink" Target="https://docs.google.com/document/d/1SPwaOyDtTSxfXSKOXgxBCxpCaR2GA3MWDR4hiRhuQ-8/edit?tab=t.0" TargetMode="External"/><Relationship Id="rId51" Type="http://schemas.openxmlformats.org/officeDocument/2006/relationships/hyperlink" Target="https://docs.google.com/document/d/1SPwaOyDtTSxfXSKOXgxBCxpCaR2GA3MWDR4hiRhuQ-8/edit?tab=t.0" TargetMode="External"/><Relationship Id="rId50" Type="http://schemas.openxmlformats.org/officeDocument/2006/relationships/hyperlink" Target="https://doi.org/10.1016/j.jik.2025.100682" TargetMode="External"/><Relationship Id="rId52" Type="http://schemas.openxmlformats.org/officeDocument/2006/relationships/drawing" Target="../drawings/drawing1.xml"/><Relationship Id="rId11" Type="http://schemas.openxmlformats.org/officeDocument/2006/relationships/hyperlink" Target="https://ro.ecu.edu.au/cgi/viewcontent.cgi?article=6835&amp;context=ecuworks2022-2026" TargetMode="External"/><Relationship Id="rId10" Type="http://schemas.openxmlformats.org/officeDocument/2006/relationships/hyperlink" Target="https://docs.google.com/document/d/1SPwaOyDtTSxfXSKOXgxBCxpCaR2GA3MWDR4hiRhuQ-8/edit?tab=t.0" TargetMode="External"/><Relationship Id="rId54" Type="http://schemas.openxmlformats.org/officeDocument/2006/relationships/table" Target="../tables/table1.xml"/><Relationship Id="rId13" Type="http://schemas.openxmlformats.org/officeDocument/2006/relationships/hyperlink" Target="https://doi.org/10.1016/j.techfore.2024.123251" TargetMode="External"/><Relationship Id="rId12" Type="http://schemas.openxmlformats.org/officeDocument/2006/relationships/hyperlink" Target="https://docs.google.com/document/d/1SPwaOyDtTSxfXSKOXgxBCxpCaR2GA3MWDR4hiRhuQ-8/edit?tab=t.0" TargetMode="External"/><Relationship Id="rId15" Type="http://schemas.openxmlformats.org/officeDocument/2006/relationships/hyperlink" Target="https://docs.google.com/document/d/1SPwaOyDtTSxfXSKOXgxBCxpCaR2GA3MWDR4hiRhuQ-8/edit?tab=t.0" TargetMode="External"/><Relationship Id="rId14" Type="http://schemas.openxmlformats.org/officeDocument/2006/relationships/hyperlink" Target="https://docs.google.com/document/d/1SPwaOyDtTSxfXSKOXgxBCxpCaR2GA3MWDR4hiRhuQ-8/edit?tab=t.0" TargetMode="External"/><Relationship Id="rId17" Type="http://schemas.openxmlformats.org/officeDocument/2006/relationships/hyperlink" Target="https://docs.google.com/document/d/1SPwaOyDtTSxfXSKOXgxBCxpCaR2GA3MWDR4hiRhuQ-8/edit?tab=t.0" TargetMode="External"/><Relationship Id="rId16" Type="http://schemas.openxmlformats.org/officeDocument/2006/relationships/hyperlink" Target="https://doi.org/10.1016/j.chbah.2024.100094" TargetMode="External"/><Relationship Id="rId19" Type="http://schemas.openxmlformats.org/officeDocument/2006/relationships/hyperlink" Target="https://docs.google.com/document/d/1SPwaOyDtTSxfXSKOXgxBCxpCaR2GA3MWDR4hiRhuQ-8/edit?tab=t.0" TargetMode="External"/><Relationship Id="rId18" Type="http://schemas.openxmlformats.org/officeDocument/2006/relationships/hyperlink" Target="https://researchmgt.monash.edu/ws/portalfiles/portal/287736273/287674072_oa.pdf"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88"/>
    <col customWidth="1" min="2" max="2" width="76.88"/>
    <col customWidth="1" min="6" max="6" width="18.25"/>
    <col customWidth="1" min="7" max="7" width="62.13"/>
    <col customWidth="1" min="8" max="8" width="17.0"/>
  </cols>
  <sheetData>
    <row r="1" ht="22.5" customHeight="1">
      <c r="A1" s="1" t="s">
        <v>0</v>
      </c>
      <c r="B1" s="1" t="s">
        <v>1</v>
      </c>
      <c r="C1" s="1" t="s">
        <v>2</v>
      </c>
      <c r="D1" s="2" t="s">
        <v>3</v>
      </c>
      <c r="E1" s="1" t="s">
        <v>4</v>
      </c>
      <c r="F1" s="1" t="s">
        <v>5</v>
      </c>
      <c r="G1" s="3" t="s">
        <v>6</v>
      </c>
    </row>
    <row r="2" ht="22.5" customHeight="1">
      <c r="A2" s="4" t="s">
        <v>7</v>
      </c>
      <c r="B2" s="4" t="s">
        <v>8</v>
      </c>
      <c r="C2" s="5" t="s">
        <v>9</v>
      </c>
      <c r="D2" s="5">
        <v>2021.0</v>
      </c>
      <c r="E2" s="6" t="s">
        <v>10</v>
      </c>
      <c r="F2" s="7" t="s">
        <v>11</v>
      </c>
      <c r="G2" s="8" t="s">
        <v>12</v>
      </c>
    </row>
    <row r="3" ht="22.5" customHeight="1">
      <c r="A3" s="5" t="s">
        <v>13</v>
      </c>
      <c r="B3" s="5" t="s">
        <v>14</v>
      </c>
      <c r="C3" s="5" t="s">
        <v>15</v>
      </c>
      <c r="D3" s="5">
        <v>2024.0</v>
      </c>
      <c r="E3" s="9" t="s">
        <v>16</v>
      </c>
      <c r="F3" s="7" t="s">
        <v>17</v>
      </c>
      <c r="G3" s="8" t="s">
        <v>18</v>
      </c>
    </row>
    <row r="4" ht="22.5" customHeight="1">
      <c r="A4" s="4" t="s">
        <v>19</v>
      </c>
      <c r="B4" s="5" t="s">
        <v>20</v>
      </c>
      <c r="C4" s="5" t="s">
        <v>21</v>
      </c>
      <c r="D4" s="5">
        <v>2025.0</v>
      </c>
      <c r="E4" s="6" t="s">
        <v>22</v>
      </c>
      <c r="F4" s="7" t="s">
        <v>23</v>
      </c>
      <c r="G4" s="8" t="s">
        <v>24</v>
      </c>
    </row>
    <row r="5" ht="22.5" customHeight="1">
      <c r="A5" s="4" t="s">
        <v>19</v>
      </c>
      <c r="B5" s="10" t="s">
        <v>25</v>
      </c>
      <c r="C5" s="5" t="s">
        <v>26</v>
      </c>
      <c r="D5" s="5">
        <v>2020.0</v>
      </c>
      <c r="E5" s="11" t="s">
        <v>27</v>
      </c>
      <c r="F5" s="7" t="s">
        <v>28</v>
      </c>
      <c r="G5" s="12"/>
    </row>
    <row r="6" ht="22.5" customHeight="1">
      <c r="A6" s="4" t="s">
        <v>19</v>
      </c>
      <c r="B6" s="5" t="s">
        <v>29</v>
      </c>
      <c r="C6" s="5" t="s">
        <v>30</v>
      </c>
      <c r="D6" s="5">
        <v>2024.0</v>
      </c>
      <c r="E6" s="6" t="s">
        <v>31</v>
      </c>
      <c r="F6" s="7" t="s">
        <v>32</v>
      </c>
      <c r="G6" s="8" t="s">
        <v>33</v>
      </c>
    </row>
    <row r="7" ht="22.5" customHeight="1">
      <c r="A7" s="4" t="s">
        <v>19</v>
      </c>
      <c r="B7" s="5" t="s">
        <v>34</v>
      </c>
      <c r="C7" s="5" t="s">
        <v>35</v>
      </c>
      <c r="D7" s="5">
        <v>2025.0</v>
      </c>
      <c r="E7" s="6" t="s">
        <v>36</v>
      </c>
      <c r="F7" s="7" t="s">
        <v>37</v>
      </c>
      <c r="G7" s="8" t="s">
        <v>12</v>
      </c>
    </row>
    <row r="8" ht="22.5" customHeight="1">
      <c r="A8" s="4" t="s">
        <v>19</v>
      </c>
      <c r="B8" s="13" t="s">
        <v>38</v>
      </c>
      <c r="C8" s="5" t="s">
        <v>39</v>
      </c>
      <c r="D8" s="5">
        <v>2024.0</v>
      </c>
      <c r="E8" s="6" t="s">
        <v>40</v>
      </c>
      <c r="F8" s="7" t="s">
        <v>41</v>
      </c>
      <c r="G8" s="14" t="s">
        <v>42</v>
      </c>
    </row>
    <row r="9" ht="22.5" customHeight="1">
      <c r="A9" s="4" t="s">
        <v>19</v>
      </c>
      <c r="B9" s="15" t="s">
        <v>43</v>
      </c>
      <c r="C9" s="5" t="s">
        <v>44</v>
      </c>
      <c r="D9" s="16" t="s">
        <v>45</v>
      </c>
      <c r="E9" s="5" t="s">
        <v>46</v>
      </c>
      <c r="F9" s="9" t="s">
        <v>47</v>
      </c>
      <c r="G9" s="8" t="s">
        <v>48</v>
      </c>
    </row>
    <row r="10" ht="22.5" customHeight="1">
      <c r="A10" s="4" t="s">
        <v>19</v>
      </c>
      <c r="B10" s="17" t="s">
        <v>49</v>
      </c>
      <c r="C10" s="5" t="s">
        <v>44</v>
      </c>
      <c r="D10" s="16" t="s">
        <v>50</v>
      </c>
      <c r="E10" s="9" t="s">
        <v>51</v>
      </c>
      <c r="F10" s="7" t="s">
        <v>52</v>
      </c>
      <c r="G10" s="14" t="s">
        <v>53</v>
      </c>
    </row>
    <row r="11" ht="22.5" customHeight="1">
      <c r="A11" s="4" t="s">
        <v>19</v>
      </c>
      <c r="B11" s="5" t="s">
        <v>54</v>
      </c>
      <c r="C11" s="5" t="s">
        <v>55</v>
      </c>
      <c r="D11" s="5">
        <v>2019.0</v>
      </c>
      <c r="E11" s="6" t="s">
        <v>56</v>
      </c>
      <c r="F11" s="9" t="s">
        <v>57</v>
      </c>
      <c r="G11" s="14" t="s">
        <v>58</v>
      </c>
    </row>
    <row r="12" ht="22.5" customHeight="1">
      <c r="A12" s="5" t="s">
        <v>19</v>
      </c>
      <c r="B12" s="5" t="s">
        <v>59</v>
      </c>
      <c r="C12" s="5" t="s">
        <v>60</v>
      </c>
      <c r="D12" s="5">
        <v>2023.0</v>
      </c>
      <c r="E12" s="6" t="s">
        <v>61</v>
      </c>
      <c r="F12" s="7" t="s">
        <v>62</v>
      </c>
      <c r="G12" s="18" t="s">
        <v>63</v>
      </c>
    </row>
    <row r="13" ht="22.5" customHeight="1">
      <c r="A13" s="5" t="s">
        <v>19</v>
      </c>
      <c r="B13" s="5" t="s">
        <v>64</v>
      </c>
      <c r="C13" s="5" t="s">
        <v>65</v>
      </c>
      <c r="D13" s="5">
        <v>2023.0</v>
      </c>
      <c r="E13" s="9" t="s">
        <v>66</v>
      </c>
      <c r="F13" s="9" t="s">
        <v>67</v>
      </c>
      <c r="G13" s="8" t="s">
        <v>68</v>
      </c>
    </row>
    <row r="14" ht="22.5" hidden="1" customHeight="1">
      <c r="A14" s="5" t="s">
        <v>69</v>
      </c>
      <c r="B14" s="5" t="s">
        <v>70</v>
      </c>
      <c r="C14" s="5" t="s">
        <v>71</v>
      </c>
      <c r="D14" s="5">
        <v>2009.0</v>
      </c>
      <c r="E14" s="6" t="s">
        <v>72</v>
      </c>
      <c r="G14" s="17" t="s">
        <v>73</v>
      </c>
    </row>
    <row r="15" ht="22.5" customHeight="1">
      <c r="A15" s="5" t="s">
        <v>19</v>
      </c>
      <c r="B15" s="19" t="s">
        <v>74</v>
      </c>
      <c r="C15" s="5" t="s">
        <v>75</v>
      </c>
      <c r="D15" s="5">
        <v>2022.0</v>
      </c>
      <c r="E15" s="6" t="s">
        <v>76</v>
      </c>
      <c r="G15" s="20" t="s">
        <v>77</v>
      </c>
    </row>
    <row r="16" ht="22.5" customHeight="1">
      <c r="A16" s="5" t="s">
        <v>19</v>
      </c>
      <c r="B16" s="21" t="s">
        <v>78</v>
      </c>
      <c r="C16" s="5" t="s">
        <v>79</v>
      </c>
      <c r="D16" s="5">
        <v>2022.0</v>
      </c>
      <c r="E16" s="9" t="s">
        <v>80</v>
      </c>
      <c r="F16" s="9" t="s">
        <v>81</v>
      </c>
      <c r="G16" s="22" t="s">
        <v>82</v>
      </c>
    </row>
    <row r="17" ht="22.5" customHeight="1">
      <c r="A17" s="5" t="s">
        <v>19</v>
      </c>
      <c r="B17" s="17" t="s">
        <v>83</v>
      </c>
      <c r="C17" s="5" t="s">
        <v>84</v>
      </c>
      <c r="D17" s="5">
        <v>2025.0</v>
      </c>
      <c r="E17" s="6" t="s">
        <v>85</v>
      </c>
      <c r="F17" s="6" t="s">
        <v>86</v>
      </c>
      <c r="G17" s="22" t="s">
        <v>87</v>
      </c>
    </row>
    <row r="18" ht="22.5" customHeight="1">
      <c r="A18" s="5" t="s">
        <v>19</v>
      </c>
      <c r="B18" s="5" t="s">
        <v>88</v>
      </c>
      <c r="C18" s="5" t="s">
        <v>89</v>
      </c>
      <c r="D18" s="5">
        <v>2023.0</v>
      </c>
      <c r="E18" s="6" t="s">
        <v>90</v>
      </c>
      <c r="F18" s="9" t="s">
        <v>91</v>
      </c>
      <c r="G18" s="22" t="s">
        <v>92</v>
      </c>
    </row>
    <row r="19" ht="22.5" customHeight="1">
      <c r="A19" s="5" t="s">
        <v>19</v>
      </c>
      <c r="B19" s="17" t="s">
        <v>93</v>
      </c>
      <c r="C19" s="5" t="s">
        <v>94</v>
      </c>
      <c r="D19" s="5">
        <v>2014.0</v>
      </c>
      <c r="E19" s="9" t="s">
        <v>95</v>
      </c>
      <c r="F19" s="9" t="s">
        <v>96</v>
      </c>
      <c r="G19" s="22" t="s">
        <v>97</v>
      </c>
    </row>
    <row r="20" ht="22.5" customHeight="1">
      <c r="A20" s="5" t="s">
        <v>19</v>
      </c>
      <c r="B20" s="23" t="s">
        <v>98</v>
      </c>
      <c r="C20" s="5" t="s">
        <v>99</v>
      </c>
      <c r="D20" s="5">
        <v>2018.0</v>
      </c>
      <c r="E20" s="6" t="s">
        <v>100</v>
      </c>
      <c r="F20" s="9" t="s">
        <v>101</v>
      </c>
      <c r="G20" s="22" t="s">
        <v>102</v>
      </c>
    </row>
    <row r="21" ht="22.5" customHeight="1">
      <c r="A21" s="5" t="s">
        <v>19</v>
      </c>
      <c r="B21" s="24" t="s">
        <v>103</v>
      </c>
      <c r="C21" s="5" t="s">
        <v>104</v>
      </c>
      <c r="D21" s="5">
        <v>2024.0</v>
      </c>
      <c r="E21" s="9" t="s">
        <v>105</v>
      </c>
      <c r="F21" s="9" t="s">
        <v>106</v>
      </c>
      <c r="G21" s="22" t="s">
        <v>107</v>
      </c>
    </row>
    <row r="22" ht="22.5" customHeight="1">
      <c r="A22" s="5" t="s">
        <v>19</v>
      </c>
      <c r="B22" s="20" t="s">
        <v>108</v>
      </c>
      <c r="C22" s="20" t="s">
        <v>109</v>
      </c>
      <c r="D22" s="20">
        <v>2024.0</v>
      </c>
      <c r="E22" s="25" t="s">
        <v>110</v>
      </c>
      <c r="F22" s="25" t="s">
        <v>111</v>
      </c>
      <c r="G22" s="22" t="s">
        <v>112</v>
      </c>
    </row>
    <row r="23" ht="22.5" customHeight="1">
      <c r="A23" s="5" t="s">
        <v>19</v>
      </c>
      <c r="B23" s="22" t="s">
        <v>113</v>
      </c>
      <c r="C23" s="20" t="s">
        <v>114</v>
      </c>
      <c r="D23" s="20">
        <v>2022.0</v>
      </c>
      <c r="E23" s="25" t="s">
        <v>115</v>
      </c>
      <c r="F23" s="25" t="s">
        <v>116</v>
      </c>
      <c r="G23" s="22" t="s">
        <v>117</v>
      </c>
    </row>
    <row r="24" ht="22.5" customHeight="1">
      <c r="A24" s="5" t="s">
        <v>19</v>
      </c>
      <c r="B24" s="20" t="s">
        <v>118</v>
      </c>
      <c r="C24" s="20" t="s">
        <v>119</v>
      </c>
      <c r="D24" s="20">
        <v>2020.0</v>
      </c>
      <c r="E24" s="26" t="s">
        <v>120</v>
      </c>
      <c r="F24" s="25" t="s">
        <v>121</v>
      </c>
      <c r="G24" s="22" t="s">
        <v>122</v>
      </c>
    </row>
    <row r="25" ht="22.5" customHeight="1">
      <c r="A25" s="5" t="s">
        <v>19</v>
      </c>
      <c r="B25" s="22" t="s">
        <v>123</v>
      </c>
      <c r="C25" s="20" t="s">
        <v>124</v>
      </c>
      <c r="D25" s="20">
        <v>2023.0</v>
      </c>
      <c r="E25" s="26" t="s">
        <v>125</v>
      </c>
      <c r="F25" s="25" t="s">
        <v>126</v>
      </c>
      <c r="G25" s="22" t="s">
        <v>127</v>
      </c>
    </row>
    <row r="26" ht="22.5" customHeight="1">
      <c r="A26" s="5" t="s">
        <v>19</v>
      </c>
      <c r="B26" s="22" t="s">
        <v>128</v>
      </c>
      <c r="C26" s="20" t="s">
        <v>129</v>
      </c>
      <c r="D26" s="20">
        <v>2020.0</v>
      </c>
      <c r="E26" s="26" t="s">
        <v>130</v>
      </c>
      <c r="F26" s="9" t="s">
        <v>131</v>
      </c>
      <c r="G26" s="22" t="s">
        <v>132</v>
      </c>
    </row>
    <row r="27" ht="22.5" customHeight="1">
      <c r="A27" s="5" t="s">
        <v>19</v>
      </c>
      <c r="B27" s="20" t="s">
        <v>133</v>
      </c>
      <c r="C27" s="20" t="s">
        <v>134</v>
      </c>
      <c r="D27" s="20">
        <v>2022.0</v>
      </c>
      <c r="E27" s="25" t="s">
        <v>135</v>
      </c>
      <c r="F27" s="26" t="s">
        <v>136</v>
      </c>
      <c r="G27" s="22" t="s">
        <v>137</v>
      </c>
    </row>
    <row r="28" ht="22.5" customHeight="1">
      <c r="A28" s="5" t="s">
        <v>13</v>
      </c>
      <c r="B28" s="5" t="s">
        <v>138</v>
      </c>
      <c r="C28" s="5" t="s">
        <v>139</v>
      </c>
      <c r="D28" s="20">
        <v>2025.0</v>
      </c>
      <c r="E28" s="26" t="s">
        <v>140</v>
      </c>
      <c r="F28" s="25" t="s">
        <v>141</v>
      </c>
      <c r="G28" s="22" t="s">
        <v>142</v>
      </c>
    </row>
    <row r="29" ht="22.5" customHeight="1">
      <c r="A29" s="27"/>
      <c r="B29" s="27"/>
      <c r="C29" s="27"/>
      <c r="D29" s="27"/>
      <c r="E29" s="27"/>
      <c r="F29" s="27"/>
      <c r="G29" s="27"/>
    </row>
    <row r="30" ht="22.5" customHeight="1">
      <c r="A30" s="27"/>
      <c r="B30" s="27"/>
      <c r="C30" s="27"/>
      <c r="D30" s="27"/>
      <c r="E30" s="27"/>
      <c r="F30" s="27"/>
      <c r="G30" s="27"/>
    </row>
    <row r="31" ht="22.5" customHeight="1">
      <c r="A31" s="27"/>
      <c r="B31" s="27"/>
      <c r="C31" s="27"/>
      <c r="D31" s="27"/>
      <c r="E31" s="27"/>
      <c r="F31" s="27"/>
      <c r="G31" s="27"/>
    </row>
    <row r="32" ht="22.5" customHeight="1">
      <c r="A32" s="27"/>
      <c r="B32" s="27"/>
      <c r="C32" s="27"/>
      <c r="D32" s="27"/>
      <c r="E32" s="27"/>
      <c r="F32" s="27"/>
      <c r="G32" s="27"/>
    </row>
    <row r="33">
      <c r="A33" s="28" t="s">
        <v>143</v>
      </c>
    </row>
    <row r="34">
      <c r="A34" s="29" t="s">
        <v>144</v>
      </c>
    </row>
    <row r="35">
      <c r="A35" s="29" t="s">
        <v>145</v>
      </c>
    </row>
    <row r="36">
      <c r="A36" s="29" t="s">
        <v>146</v>
      </c>
    </row>
    <row r="37">
      <c r="A37" s="29" t="s">
        <v>147</v>
      </c>
    </row>
    <row r="38">
      <c r="A38" s="29"/>
    </row>
    <row r="39">
      <c r="A39" s="29" t="s">
        <v>148</v>
      </c>
    </row>
    <row r="40">
      <c r="A40" s="29" t="s">
        <v>149</v>
      </c>
    </row>
    <row r="42">
      <c r="A42" s="28" t="s">
        <v>150</v>
      </c>
    </row>
    <row r="43">
      <c r="A43" s="29">
        <v>79.0</v>
      </c>
    </row>
    <row r="48">
      <c r="A48" s="30" t="s">
        <v>151</v>
      </c>
    </row>
  </sheetData>
  <hyperlinks>
    <hyperlink r:id="rId1" ref="E2"/>
    <hyperlink r:id="rId2" location="heading=h.tizwl2f0nhul" ref="F2"/>
    <hyperlink r:id="rId3" ref="E3"/>
    <hyperlink r:id="rId4" location="heading=h.9aqrefjsg8iy" ref="F3"/>
    <hyperlink r:id="rId5" ref="E4"/>
    <hyperlink r:id="rId6" location="heading=h.f6nzybkm7w91" ref="F4"/>
    <hyperlink r:id="rId7" ref="E5"/>
    <hyperlink r:id="rId8" location="heading=h.y46nr9uaui6i" ref="F5"/>
    <hyperlink r:id="rId9" ref="E6"/>
    <hyperlink r:id="rId10" location="heading=h.n3xndpokmg8t" ref="F6"/>
    <hyperlink r:id="rId11" ref="E7"/>
    <hyperlink r:id="rId12" location="heading=h.9420byt120jc" ref="F7"/>
    <hyperlink r:id="rId13" ref="E8"/>
    <hyperlink r:id="rId14" location="heading=h.yski31vbjmtv" ref="F8"/>
    <hyperlink r:id="rId15" location="heading=h.e7xdw6eef64h" ref="F9"/>
    <hyperlink r:id="rId16" ref="E10"/>
    <hyperlink r:id="rId17" location="heading=h.ivj2kfxb01ce" ref="F10"/>
    <hyperlink r:id="rId18" ref="E11"/>
    <hyperlink r:id="rId19" location="heading=h.6v4rzk15ijf" ref="F11"/>
    <hyperlink r:id="rId20" ref="E12"/>
    <hyperlink r:id="rId21" location="heading=h.amli7ies6vhp" ref="F12"/>
    <hyperlink r:id="rId22" ref="E13"/>
    <hyperlink r:id="rId23" location="heading=h.6c6at5cp0u0d" ref="F13"/>
    <hyperlink r:id="rId24" ref="E14"/>
    <hyperlink r:id="rId25" ref="E15"/>
    <hyperlink r:id="rId26" ref="E16"/>
    <hyperlink r:id="rId27" location="heading=h.m84djr5airg" ref="F16"/>
    <hyperlink r:id="rId28" ref="E17"/>
    <hyperlink r:id="rId29" location="heading=h.bfb3rkghnc1n" ref="F17"/>
    <hyperlink r:id="rId30" ref="E18"/>
    <hyperlink r:id="rId31" location="heading=h.h5v0qciu2kee" ref="F18"/>
    <hyperlink r:id="rId32" ref="E19"/>
    <hyperlink r:id="rId33" location="heading=h.wwf6v8qbqwwt" ref="F19"/>
    <hyperlink r:id="rId34" ref="E20"/>
    <hyperlink r:id="rId35" location="heading=h.d5coohz8ooft" ref="F20"/>
    <hyperlink r:id="rId36" ref="E21"/>
    <hyperlink r:id="rId37" location="heading=h.c8yszosgyexm" ref="F21"/>
    <hyperlink r:id="rId38" ref="E22"/>
    <hyperlink r:id="rId39" location="heading=h.yiaf0amvwewu" ref="F22"/>
    <hyperlink r:id="rId40" ref="E23"/>
    <hyperlink r:id="rId41" location="heading=h.5icpblq0cr2m" ref="F23"/>
    <hyperlink r:id="rId42" ref="E24"/>
    <hyperlink r:id="rId43" location="heading=h.700og5qhzsrw" ref="F24"/>
    <hyperlink r:id="rId44" ref="E25"/>
    <hyperlink r:id="rId45" location="heading=h.jkpdn2yq4n46" ref="F25"/>
    <hyperlink r:id="rId46" ref="E26"/>
    <hyperlink r:id="rId47" location="heading=h.llg0bhcgmfrs" ref="F26"/>
    <hyperlink r:id="rId48" ref="E27"/>
    <hyperlink r:id="rId49" location="heading=h.4bkpal1l79ow" ref="F27"/>
    <hyperlink r:id="rId50" ref="E28"/>
    <hyperlink r:id="rId51" location="heading=h.vqdcqpuu938k" ref="F28"/>
  </hyperlinks>
  <drawing r:id="rId52"/>
  <tableParts count="1">
    <tablePart r:id="rId5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7.0"/>
    <col customWidth="1" min="2" max="2" width="16.0"/>
    <col customWidth="1" min="3" max="3" width="18.38"/>
    <col customWidth="1" min="4" max="5" width="23.75"/>
    <col customWidth="1" min="6" max="6" width="77.25"/>
  </cols>
  <sheetData>
    <row r="1" ht="22.5" customHeight="1">
      <c r="A1" s="31" t="s">
        <v>152</v>
      </c>
      <c r="B1" s="32" t="s">
        <v>153</v>
      </c>
      <c r="C1" s="32" t="s">
        <v>154</v>
      </c>
      <c r="D1" s="32" t="s">
        <v>155</v>
      </c>
      <c r="E1" s="32" t="s">
        <v>156</v>
      </c>
      <c r="F1" s="33" t="s">
        <v>157</v>
      </c>
    </row>
    <row r="2" ht="22.5" customHeight="1">
      <c r="A2" s="5" t="s">
        <v>158</v>
      </c>
      <c r="B2" s="17" t="s">
        <v>159</v>
      </c>
      <c r="C2" s="17" t="s">
        <v>160</v>
      </c>
      <c r="D2" s="5" t="s">
        <v>161</v>
      </c>
      <c r="E2" s="5" t="s">
        <v>162</v>
      </c>
      <c r="F2" s="17" t="s">
        <v>163</v>
      </c>
    </row>
    <row r="3" ht="22.5" customHeight="1">
      <c r="A3" s="5" t="s">
        <v>164</v>
      </c>
      <c r="B3" s="17" t="s">
        <v>165</v>
      </c>
      <c r="C3" s="17" t="s">
        <v>166</v>
      </c>
      <c r="D3" s="5" t="s">
        <v>167</v>
      </c>
      <c r="E3" s="5" t="s">
        <v>168</v>
      </c>
      <c r="F3" s="17" t="s">
        <v>169</v>
      </c>
    </row>
    <row r="4" ht="22.5" customHeight="1">
      <c r="A4" s="5" t="s">
        <v>170</v>
      </c>
      <c r="B4" s="17" t="s">
        <v>171</v>
      </c>
      <c r="C4" s="17" t="s">
        <v>172</v>
      </c>
      <c r="D4" s="5" t="s">
        <v>173</v>
      </c>
      <c r="E4" s="17" t="s">
        <v>174</v>
      </c>
      <c r="F4" s="17" t="s">
        <v>175</v>
      </c>
    </row>
    <row r="5" ht="22.5" customHeight="1">
      <c r="A5" s="5" t="s">
        <v>176</v>
      </c>
      <c r="B5" s="17" t="s">
        <v>177</v>
      </c>
      <c r="C5" s="17" t="s">
        <v>172</v>
      </c>
      <c r="D5" s="5" t="s">
        <v>178</v>
      </c>
      <c r="E5" s="5" t="s">
        <v>179</v>
      </c>
      <c r="F5" s="17" t="s">
        <v>180</v>
      </c>
    </row>
    <row r="6" ht="22.5" customHeight="1">
      <c r="A6" s="5" t="s">
        <v>181</v>
      </c>
      <c r="B6" s="17" t="s">
        <v>182</v>
      </c>
      <c r="C6" s="17" t="s">
        <v>172</v>
      </c>
      <c r="D6" s="5"/>
      <c r="E6" s="5" t="s">
        <v>183</v>
      </c>
      <c r="F6" s="17" t="s">
        <v>184</v>
      </c>
    </row>
    <row r="7" ht="22.5" customHeight="1">
      <c r="A7" s="5" t="s">
        <v>185</v>
      </c>
      <c r="B7" s="17" t="s">
        <v>186</v>
      </c>
      <c r="C7" s="17" t="s">
        <v>172</v>
      </c>
      <c r="D7" s="5" t="s">
        <v>187</v>
      </c>
      <c r="E7" s="5" t="s">
        <v>188</v>
      </c>
      <c r="F7" s="17" t="s">
        <v>189</v>
      </c>
    </row>
    <row r="8" ht="22.5" customHeight="1">
      <c r="A8" s="5" t="s">
        <v>190</v>
      </c>
      <c r="B8" s="17" t="s">
        <v>191</v>
      </c>
      <c r="C8" s="17" t="s">
        <v>172</v>
      </c>
      <c r="D8" s="5" t="s">
        <v>187</v>
      </c>
      <c r="E8" s="5" t="s">
        <v>192</v>
      </c>
      <c r="F8" s="17" t="s">
        <v>193</v>
      </c>
    </row>
    <row r="9" ht="22.5" hidden="1" customHeight="1">
      <c r="A9" s="5" t="s">
        <v>194</v>
      </c>
      <c r="B9" s="22" t="s">
        <v>195</v>
      </c>
      <c r="C9" s="22" t="s">
        <v>172</v>
      </c>
      <c r="D9" s="5" t="s">
        <v>187</v>
      </c>
      <c r="E9" s="5" t="s">
        <v>196</v>
      </c>
      <c r="F9" s="17" t="s">
        <v>197</v>
      </c>
    </row>
    <row r="10" ht="22.5" customHeight="1">
      <c r="A10" s="5" t="s">
        <v>198</v>
      </c>
      <c r="B10" s="22" t="s">
        <v>199</v>
      </c>
      <c r="C10" s="22" t="s">
        <v>172</v>
      </c>
      <c r="D10" s="5" t="s">
        <v>187</v>
      </c>
      <c r="E10" s="5" t="s">
        <v>200</v>
      </c>
      <c r="F10" s="17" t="s">
        <v>201</v>
      </c>
    </row>
    <row r="11" ht="22.5" customHeight="1">
      <c r="A11" s="5" t="s">
        <v>202</v>
      </c>
      <c r="B11" s="34"/>
      <c r="C11" s="22" t="s">
        <v>172</v>
      </c>
      <c r="D11" s="17" t="s">
        <v>203</v>
      </c>
      <c r="E11" s="17" t="s">
        <v>204</v>
      </c>
      <c r="F11" s="17" t="s">
        <v>205</v>
      </c>
    </row>
    <row r="12" ht="22.5" customHeight="1">
      <c r="A12" s="5" t="s">
        <v>206</v>
      </c>
      <c r="B12" s="34"/>
      <c r="C12" s="22" t="s">
        <v>172</v>
      </c>
      <c r="D12" s="5" t="s">
        <v>203</v>
      </c>
      <c r="E12" s="17" t="s">
        <v>207</v>
      </c>
      <c r="F12" s="17" t="s">
        <v>208</v>
      </c>
    </row>
    <row r="13" ht="22.5" customHeight="1">
      <c r="A13" s="5" t="s">
        <v>209</v>
      </c>
      <c r="B13" s="22" t="s">
        <v>210</v>
      </c>
      <c r="C13" s="22" t="s">
        <v>172</v>
      </c>
      <c r="D13" s="17" t="s">
        <v>211</v>
      </c>
      <c r="E13" s="17" t="s">
        <v>212</v>
      </c>
      <c r="F13" s="17" t="s">
        <v>213</v>
      </c>
    </row>
    <row r="14" ht="22.5" customHeight="1">
      <c r="A14" s="5" t="s">
        <v>214</v>
      </c>
      <c r="B14" s="22" t="s">
        <v>215</v>
      </c>
      <c r="C14" s="22" t="s">
        <v>172</v>
      </c>
      <c r="D14" s="17" t="s">
        <v>211</v>
      </c>
      <c r="E14" s="17" t="s">
        <v>216</v>
      </c>
      <c r="F14" s="17" t="s">
        <v>217</v>
      </c>
    </row>
    <row r="15" ht="22.5" customHeight="1">
      <c r="A15" s="20" t="s">
        <v>218</v>
      </c>
      <c r="B15" s="22" t="s">
        <v>219</v>
      </c>
      <c r="C15" s="22" t="s">
        <v>172</v>
      </c>
      <c r="D15" s="22" t="s">
        <v>220</v>
      </c>
      <c r="E15" s="22" t="s">
        <v>221</v>
      </c>
      <c r="F15" s="17" t="s">
        <v>222</v>
      </c>
    </row>
    <row r="16" ht="22.5" customHeight="1">
      <c r="A16" s="20" t="s">
        <v>223</v>
      </c>
      <c r="B16" s="22" t="s">
        <v>224</v>
      </c>
      <c r="C16" s="22" t="s">
        <v>172</v>
      </c>
      <c r="D16" s="22" t="s">
        <v>225</v>
      </c>
      <c r="E16" s="5" t="s">
        <v>226</v>
      </c>
      <c r="F16" s="17" t="s">
        <v>227</v>
      </c>
    </row>
    <row r="17" ht="22.5" customHeight="1">
      <c r="A17" s="20" t="s">
        <v>228</v>
      </c>
      <c r="B17" s="22" t="s">
        <v>229</v>
      </c>
      <c r="C17" s="22" t="s">
        <v>160</v>
      </c>
      <c r="D17" s="22" t="s">
        <v>230</v>
      </c>
      <c r="E17" s="5" t="s">
        <v>231</v>
      </c>
      <c r="F17" s="17" t="s">
        <v>232</v>
      </c>
    </row>
    <row r="18" ht="22.5" hidden="1" customHeight="1">
      <c r="A18" s="5" t="s">
        <v>233</v>
      </c>
      <c r="B18" s="22" t="s">
        <v>234</v>
      </c>
      <c r="C18" s="34"/>
      <c r="D18" s="34"/>
      <c r="E18" s="22" t="s">
        <v>235</v>
      </c>
      <c r="F18" s="17" t="s">
        <v>236</v>
      </c>
    </row>
    <row r="19" ht="22.5" customHeight="1">
      <c r="A19" s="5" t="s">
        <v>237</v>
      </c>
      <c r="B19" s="22" t="s">
        <v>238</v>
      </c>
      <c r="C19" s="22" t="s">
        <v>239</v>
      </c>
      <c r="D19" s="34"/>
      <c r="E19" s="5" t="s">
        <v>240</v>
      </c>
      <c r="F19" s="17" t="s">
        <v>241</v>
      </c>
    </row>
    <row r="20" ht="22.5" customHeight="1">
      <c r="A20" s="20" t="s">
        <v>242</v>
      </c>
      <c r="B20" s="22" t="s">
        <v>243</v>
      </c>
      <c r="C20" s="22" t="s">
        <v>172</v>
      </c>
      <c r="D20" s="34"/>
      <c r="E20" s="5" t="s">
        <v>244</v>
      </c>
      <c r="F20" s="17" t="s">
        <v>245</v>
      </c>
    </row>
    <row r="21" ht="22.5" customHeight="1">
      <c r="A21" s="20" t="s">
        <v>246</v>
      </c>
      <c r="B21" s="22" t="s">
        <v>247</v>
      </c>
      <c r="C21" s="22" t="s">
        <v>172</v>
      </c>
      <c r="D21" s="34"/>
      <c r="E21" s="22" t="s">
        <v>248</v>
      </c>
      <c r="F21" s="22" t="s">
        <v>249</v>
      </c>
    </row>
    <row r="22" ht="22.5" customHeight="1">
      <c r="A22" s="20" t="s">
        <v>250</v>
      </c>
      <c r="B22" s="22" t="s">
        <v>251</v>
      </c>
      <c r="C22" s="22" t="s">
        <v>172</v>
      </c>
      <c r="D22" s="34"/>
      <c r="E22" s="5" t="s">
        <v>252</v>
      </c>
      <c r="F22" s="17" t="s">
        <v>253</v>
      </c>
    </row>
    <row r="23" ht="22.5" customHeight="1">
      <c r="A23" s="5" t="s">
        <v>254</v>
      </c>
      <c r="B23" s="22" t="s">
        <v>255</v>
      </c>
      <c r="C23" s="22" t="s">
        <v>172</v>
      </c>
      <c r="D23" s="34"/>
      <c r="E23" s="22" t="s">
        <v>256</v>
      </c>
      <c r="F23" s="22" t="s">
        <v>257</v>
      </c>
    </row>
    <row r="24" ht="22.5" customHeight="1">
      <c r="A24" s="5" t="s">
        <v>258</v>
      </c>
      <c r="B24" s="22" t="s">
        <v>259</v>
      </c>
      <c r="C24" s="22" t="s">
        <v>172</v>
      </c>
      <c r="D24" s="34"/>
      <c r="E24" s="5" t="s">
        <v>260</v>
      </c>
      <c r="F24" s="22" t="s">
        <v>261</v>
      </c>
    </row>
    <row r="25" ht="22.5" customHeight="1">
      <c r="A25" s="5" t="s">
        <v>262</v>
      </c>
      <c r="B25" s="22" t="s">
        <v>263</v>
      </c>
      <c r="C25" s="22" t="s">
        <v>264</v>
      </c>
      <c r="D25" s="34"/>
      <c r="E25" s="5" t="s">
        <v>265</v>
      </c>
      <c r="F25" s="22" t="s">
        <v>266</v>
      </c>
    </row>
    <row r="26" ht="22.5" customHeight="1">
      <c r="A26" s="20" t="s">
        <v>267</v>
      </c>
      <c r="B26" s="22" t="s">
        <v>268</v>
      </c>
      <c r="C26" s="22" t="s">
        <v>172</v>
      </c>
      <c r="D26" s="34"/>
      <c r="E26" s="22" t="s">
        <v>269</v>
      </c>
      <c r="F26" s="22" t="s">
        <v>270</v>
      </c>
    </row>
    <row r="27" ht="22.5" customHeight="1">
      <c r="A27" s="20" t="s">
        <v>271</v>
      </c>
      <c r="B27" s="22" t="s">
        <v>272</v>
      </c>
      <c r="C27" s="22" t="s">
        <v>273</v>
      </c>
      <c r="D27" s="34"/>
      <c r="E27" s="22" t="s">
        <v>269</v>
      </c>
      <c r="F27" s="22" t="s">
        <v>274</v>
      </c>
    </row>
    <row r="28" ht="22.5" customHeight="1">
      <c r="A28" s="20" t="s">
        <v>275</v>
      </c>
      <c r="B28" s="22" t="s">
        <v>276</v>
      </c>
      <c r="C28" s="22" t="s">
        <v>172</v>
      </c>
      <c r="D28" s="34"/>
      <c r="E28" s="22" t="s">
        <v>269</v>
      </c>
      <c r="F28" s="22" t="s">
        <v>277</v>
      </c>
    </row>
    <row r="29" ht="22.5" customHeight="1">
      <c r="A29" s="20" t="s">
        <v>278</v>
      </c>
      <c r="B29" s="22" t="s">
        <v>279</v>
      </c>
      <c r="C29" s="22" t="s">
        <v>273</v>
      </c>
      <c r="D29" s="34"/>
      <c r="E29" s="22" t="s">
        <v>269</v>
      </c>
      <c r="F29" s="22" t="s">
        <v>280</v>
      </c>
    </row>
    <row r="30" ht="22.5" customHeight="1">
      <c r="A30" s="20" t="s">
        <v>281</v>
      </c>
      <c r="B30" s="22" t="s">
        <v>282</v>
      </c>
      <c r="C30" s="22" t="s">
        <v>172</v>
      </c>
      <c r="D30" s="34"/>
      <c r="E30" s="22" t="s">
        <v>283</v>
      </c>
      <c r="F30" s="22" t="s">
        <v>284</v>
      </c>
    </row>
    <row r="31" ht="22.5" customHeight="1">
      <c r="A31" s="20" t="s">
        <v>233</v>
      </c>
      <c r="B31" s="22" t="s">
        <v>234</v>
      </c>
      <c r="C31" s="22" t="s">
        <v>172</v>
      </c>
      <c r="D31" s="34"/>
      <c r="E31" s="22" t="s">
        <v>285</v>
      </c>
      <c r="F31" s="22" t="s">
        <v>286</v>
      </c>
    </row>
    <row r="32">
      <c r="B32" s="35"/>
      <c r="C32" s="35"/>
      <c r="D32" s="35"/>
      <c r="E32" s="35"/>
      <c r="F32" s="35"/>
    </row>
    <row r="33">
      <c r="B33" s="35"/>
      <c r="C33" s="35"/>
      <c r="D33" s="35"/>
      <c r="E33" s="35"/>
      <c r="F33" s="35"/>
    </row>
    <row r="34">
      <c r="B34" s="35"/>
      <c r="C34" s="35"/>
      <c r="D34" s="35"/>
      <c r="E34" s="35"/>
      <c r="F34" s="35"/>
    </row>
    <row r="35">
      <c r="B35" s="35"/>
      <c r="C35" s="35"/>
      <c r="D35" s="35"/>
      <c r="E35" s="35"/>
      <c r="F35" s="35"/>
    </row>
    <row r="36">
      <c r="B36" s="35"/>
      <c r="C36" s="35"/>
      <c r="D36" s="35"/>
      <c r="E36" s="35"/>
      <c r="F36" s="35"/>
    </row>
    <row r="37">
      <c r="B37" s="35"/>
      <c r="C37" s="35"/>
      <c r="D37" s="35"/>
      <c r="E37" s="35"/>
      <c r="F37" s="35"/>
    </row>
    <row r="38">
      <c r="B38" s="35"/>
      <c r="C38" s="35"/>
      <c r="D38" s="35"/>
      <c r="E38" s="35"/>
      <c r="F38" s="35"/>
    </row>
    <row r="39">
      <c r="B39" s="35"/>
      <c r="C39" s="35"/>
      <c r="D39" s="35"/>
      <c r="E39" s="35"/>
      <c r="F39" s="35"/>
    </row>
    <row r="40">
      <c r="B40" s="35"/>
      <c r="C40" s="35"/>
      <c r="D40" s="35"/>
      <c r="E40" s="35"/>
      <c r="F40" s="35"/>
    </row>
    <row r="41">
      <c r="B41" s="35"/>
      <c r="C41" s="35"/>
      <c r="D41" s="35"/>
      <c r="E41" s="35"/>
      <c r="F41" s="35"/>
    </row>
    <row r="42">
      <c r="B42" s="35"/>
      <c r="C42" s="35"/>
      <c r="D42" s="35"/>
      <c r="E42" s="35"/>
      <c r="F42" s="35"/>
    </row>
    <row r="43">
      <c r="B43" s="35"/>
      <c r="C43" s="35"/>
      <c r="D43" s="35"/>
      <c r="E43" s="35"/>
      <c r="F43" s="35"/>
    </row>
    <row r="44">
      <c r="B44" s="35"/>
      <c r="C44" s="35"/>
      <c r="D44" s="35"/>
      <c r="E44" s="35"/>
      <c r="F44" s="35"/>
    </row>
    <row r="45">
      <c r="B45" s="35"/>
      <c r="C45" s="35"/>
      <c r="D45" s="35"/>
      <c r="E45" s="35"/>
      <c r="F45" s="35"/>
    </row>
    <row r="46">
      <c r="B46" s="35"/>
      <c r="C46" s="35"/>
      <c r="D46" s="35"/>
      <c r="E46" s="35"/>
      <c r="F46" s="35"/>
    </row>
    <row r="47">
      <c r="B47" s="35"/>
      <c r="C47" s="35"/>
      <c r="D47" s="35"/>
      <c r="E47" s="35"/>
      <c r="F47" s="35"/>
    </row>
    <row r="48">
      <c r="B48" s="35"/>
      <c r="C48" s="35"/>
      <c r="D48" s="35"/>
      <c r="E48" s="35"/>
      <c r="F48" s="35"/>
    </row>
    <row r="49">
      <c r="B49" s="35"/>
      <c r="C49" s="35"/>
      <c r="D49" s="35"/>
      <c r="E49" s="35"/>
      <c r="F49" s="35"/>
    </row>
    <row r="50">
      <c r="B50" s="35"/>
      <c r="C50" s="35"/>
      <c r="D50" s="35"/>
      <c r="E50" s="35"/>
      <c r="F50" s="35"/>
    </row>
    <row r="51">
      <c r="B51" s="35"/>
      <c r="C51" s="35"/>
      <c r="D51" s="35"/>
      <c r="E51" s="35"/>
      <c r="F51" s="35"/>
    </row>
    <row r="52">
      <c r="B52" s="35"/>
      <c r="C52" s="35"/>
      <c r="D52" s="35"/>
      <c r="E52" s="35"/>
      <c r="F52" s="35"/>
    </row>
    <row r="53">
      <c r="B53" s="35"/>
      <c r="C53" s="35"/>
      <c r="D53" s="35"/>
      <c r="E53" s="35"/>
      <c r="F53" s="35"/>
    </row>
    <row r="54">
      <c r="B54" s="35"/>
      <c r="C54" s="35"/>
      <c r="D54" s="35"/>
      <c r="E54" s="35"/>
      <c r="F54" s="35"/>
    </row>
    <row r="55">
      <c r="B55" s="35"/>
      <c r="C55" s="35"/>
      <c r="D55" s="35"/>
      <c r="E55" s="35"/>
      <c r="F55" s="35"/>
    </row>
    <row r="56">
      <c r="B56" s="35"/>
      <c r="C56" s="35"/>
      <c r="D56" s="35"/>
      <c r="E56" s="35"/>
      <c r="F56" s="35"/>
    </row>
    <row r="57">
      <c r="B57" s="35"/>
      <c r="C57" s="35"/>
      <c r="D57" s="35"/>
      <c r="E57" s="35"/>
      <c r="F57" s="35"/>
    </row>
    <row r="58">
      <c r="B58" s="35"/>
      <c r="C58" s="35"/>
      <c r="D58" s="35"/>
      <c r="E58" s="35"/>
      <c r="F58" s="35"/>
    </row>
    <row r="59">
      <c r="B59" s="35"/>
      <c r="C59" s="35"/>
      <c r="D59" s="35"/>
      <c r="E59" s="35"/>
      <c r="F59" s="35"/>
    </row>
    <row r="60">
      <c r="B60" s="35"/>
      <c r="C60" s="35"/>
      <c r="D60" s="35"/>
      <c r="E60" s="35"/>
      <c r="F60" s="35"/>
    </row>
    <row r="61">
      <c r="B61" s="35"/>
      <c r="C61" s="35"/>
      <c r="D61" s="35"/>
      <c r="E61" s="35"/>
      <c r="F61" s="35"/>
    </row>
    <row r="62">
      <c r="B62" s="35"/>
      <c r="C62" s="35"/>
      <c r="D62" s="35"/>
      <c r="E62" s="35"/>
      <c r="F62" s="35"/>
    </row>
    <row r="63">
      <c r="B63" s="35"/>
      <c r="C63" s="35"/>
      <c r="D63" s="35"/>
      <c r="E63" s="35"/>
      <c r="F63" s="35"/>
    </row>
    <row r="64">
      <c r="B64" s="35"/>
      <c r="C64" s="35"/>
      <c r="D64" s="35"/>
      <c r="E64" s="35"/>
      <c r="F64" s="35"/>
    </row>
    <row r="65">
      <c r="B65" s="35"/>
      <c r="C65" s="35"/>
      <c r="D65" s="35"/>
      <c r="E65" s="35"/>
      <c r="F65" s="35"/>
    </row>
    <row r="66">
      <c r="B66" s="35"/>
      <c r="C66" s="35"/>
      <c r="D66" s="35"/>
      <c r="E66" s="35"/>
      <c r="F66" s="35"/>
    </row>
    <row r="67">
      <c r="B67" s="35"/>
      <c r="C67" s="35"/>
      <c r="D67" s="35"/>
      <c r="E67" s="35"/>
      <c r="F67" s="35"/>
    </row>
    <row r="68">
      <c r="B68" s="35"/>
      <c r="C68" s="35"/>
      <c r="D68" s="35"/>
      <c r="E68" s="35"/>
      <c r="F68" s="35"/>
    </row>
    <row r="69">
      <c r="B69" s="35"/>
      <c r="C69" s="35"/>
      <c r="D69" s="35"/>
      <c r="E69" s="35"/>
      <c r="F69" s="35"/>
    </row>
    <row r="70">
      <c r="B70" s="35"/>
      <c r="C70" s="35"/>
      <c r="D70" s="35"/>
      <c r="E70" s="35"/>
      <c r="F70" s="35"/>
    </row>
    <row r="71">
      <c r="B71" s="35"/>
      <c r="C71" s="35"/>
      <c r="D71" s="35"/>
      <c r="E71" s="35"/>
      <c r="F71" s="35"/>
    </row>
    <row r="72">
      <c r="B72" s="35"/>
      <c r="C72" s="35"/>
      <c r="D72" s="35"/>
      <c r="E72" s="35"/>
      <c r="F72" s="35"/>
    </row>
    <row r="73">
      <c r="B73" s="35"/>
      <c r="C73" s="35"/>
      <c r="D73" s="35"/>
      <c r="E73" s="35"/>
      <c r="F73" s="35"/>
    </row>
    <row r="74">
      <c r="B74" s="35"/>
      <c r="C74" s="35"/>
      <c r="D74" s="35"/>
      <c r="E74" s="35"/>
      <c r="F74" s="35"/>
    </row>
    <row r="75">
      <c r="B75" s="35"/>
      <c r="C75" s="35"/>
      <c r="D75" s="35"/>
      <c r="E75" s="35"/>
      <c r="F75" s="35"/>
    </row>
    <row r="76">
      <c r="B76" s="35"/>
      <c r="C76" s="35"/>
      <c r="D76" s="35"/>
      <c r="E76" s="35"/>
      <c r="F76" s="35"/>
    </row>
    <row r="77">
      <c r="B77" s="35"/>
      <c r="C77" s="35"/>
      <c r="D77" s="35"/>
      <c r="E77" s="35"/>
      <c r="F77" s="35"/>
    </row>
    <row r="78">
      <c r="B78" s="35"/>
      <c r="C78" s="35"/>
      <c r="D78" s="35"/>
      <c r="E78" s="35"/>
      <c r="F78" s="35"/>
    </row>
    <row r="79">
      <c r="B79" s="35"/>
      <c r="C79" s="35"/>
      <c r="D79" s="35"/>
      <c r="E79" s="35"/>
      <c r="F79" s="35"/>
    </row>
    <row r="80">
      <c r="B80" s="35"/>
      <c r="C80" s="35"/>
      <c r="D80" s="35"/>
      <c r="E80" s="35"/>
      <c r="F80" s="35"/>
    </row>
    <row r="81">
      <c r="B81" s="35"/>
      <c r="C81" s="35"/>
      <c r="D81" s="35"/>
      <c r="E81" s="35"/>
      <c r="F81" s="35"/>
    </row>
    <row r="82">
      <c r="B82" s="35"/>
      <c r="C82" s="35"/>
      <c r="D82" s="35"/>
      <c r="E82" s="35"/>
      <c r="F82" s="35"/>
    </row>
    <row r="83">
      <c r="B83" s="35"/>
      <c r="C83" s="35"/>
      <c r="D83" s="35"/>
      <c r="E83" s="35"/>
      <c r="F83" s="35"/>
    </row>
    <row r="84">
      <c r="B84" s="35"/>
      <c r="C84" s="35"/>
      <c r="D84" s="35"/>
      <c r="E84" s="35"/>
      <c r="F84" s="35"/>
    </row>
    <row r="85">
      <c r="B85" s="35"/>
      <c r="C85" s="35"/>
      <c r="D85" s="35"/>
      <c r="E85" s="35"/>
      <c r="F85" s="35"/>
    </row>
    <row r="86">
      <c r="B86" s="35"/>
      <c r="C86" s="35"/>
      <c r="D86" s="35"/>
      <c r="E86" s="35"/>
      <c r="F86" s="35"/>
    </row>
    <row r="87">
      <c r="B87" s="35"/>
      <c r="C87" s="35"/>
      <c r="D87" s="35"/>
      <c r="E87" s="35"/>
      <c r="F87" s="35"/>
    </row>
    <row r="88">
      <c r="B88" s="35"/>
      <c r="C88" s="35"/>
      <c r="D88" s="35"/>
      <c r="E88" s="35"/>
      <c r="F88" s="35"/>
    </row>
    <row r="89">
      <c r="B89" s="35"/>
      <c r="C89" s="35"/>
      <c r="D89" s="35"/>
      <c r="E89" s="35"/>
      <c r="F89" s="35"/>
    </row>
    <row r="90">
      <c r="B90" s="35"/>
      <c r="C90" s="35"/>
      <c r="D90" s="35"/>
      <c r="E90" s="35"/>
      <c r="F90" s="35"/>
    </row>
    <row r="91">
      <c r="B91" s="35"/>
      <c r="C91" s="35"/>
      <c r="D91" s="35"/>
      <c r="E91" s="35"/>
      <c r="F91" s="35"/>
    </row>
    <row r="92">
      <c r="B92" s="35"/>
      <c r="C92" s="35"/>
      <c r="D92" s="35"/>
      <c r="E92" s="35"/>
      <c r="F92" s="35"/>
    </row>
    <row r="93">
      <c r="B93" s="35"/>
      <c r="C93" s="35"/>
      <c r="D93" s="35"/>
      <c r="E93" s="35"/>
      <c r="F93" s="35"/>
    </row>
    <row r="94">
      <c r="B94" s="35"/>
      <c r="C94" s="35"/>
      <c r="D94" s="35"/>
      <c r="E94" s="35"/>
      <c r="F94" s="35"/>
    </row>
    <row r="95">
      <c r="B95" s="35"/>
      <c r="C95" s="35"/>
      <c r="D95" s="35"/>
      <c r="E95" s="35"/>
      <c r="F95" s="35"/>
    </row>
    <row r="96">
      <c r="B96" s="35"/>
      <c r="C96" s="35"/>
      <c r="D96" s="35"/>
      <c r="E96" s="35"/>
      <c r="F96" s="35"/>
    </row>
    <row r="97">
      <c r="B97" s="35"/>
      <c r="C97" s="35"/>
      <c r="D97" s="35"/>
      <c r="E97" s="35"/>
      <c r="F97" s="35"/>
    </row>
    <row r="98">
      <c r="B98" s="35"/>
      <c r="C98" s="35"/>
      <c r="D98" s="35"/>
      <c r="E98" s="35"/>
      <c r="F98" s="35"/>
    </row>
    <row r="99">
      <c r="B99" s="35"/>
      <c r="C99" s="35"/>
      <c r="D99" s="35"/>
      <c r="E99" s="35"/>
      <c r="F99" s="35"/>
    </row>
    <row r="100">
      <c r="B100" s="35"/>
      <c r="C100" s="35"/>
      <c r="D100" s="35"/>
      <c r="E100" s="35"/>
      <c r="F100" s="35"/>
    </row>
    <row r="101">
      <c r="B101" s="35"/>
      <c r="C101" s="35"/>
      <c r="D101" s="35"/>
      <c r="E101" s="35"/>
      <c r="F101" s="35"/>
    </row>
    <row r="102">
      <c r="B102" s="35"/>
      <c r="C102" s="35"/>
      <c r="D102" s="35"/>
      <c r="E102" s="35"/>
      <c r="F102" s="35"/>
    </row>
    <row r="103">
      <c r="B103" s="35"/>
      <c r="C103" s="35"/>
      <c r="D103" s="35"/>
      <c r="E103" s="35"/>
      <c r="F103" s="35"/>
    </row>
    <row r="104">
      <c r="B104" s="35"/>
      <c r="C104" s="35"/>
      <c r="D104" s="35"/>
      <c r="E104" s="35"/>
      <c r="F104" s="35"/>
    </row>
    <row r="105">
      <c r="B105" s="35"/>
      <c r="C105" s="35"/>
      <c r="D105" s="35"/>
      <c r="E105" s="35"/>
      <c r="F105" s="35"/>
    </row>
    <row r="106">
      <c r="B106" s="35"/>
      <c r="C106" s="35"/>
      <c r="D106" s="35"/>
      <c r="E106" s="35"/>
      <c r="F106" s="35"/>
    </row>
    <row r="107">
      <c r="B107" s="35"/>
      <c r="C107" s="35"/>
      <c r="D107" s="35"/>
      <c r="E107" s="35"/>
      <c r="F107" s="35"/>
    </row>
    <row r="108">
      <c r="B108" s="35"/>
      <c r="C108" s="35"/>
      <c r="D108" s="35"/>
      <c r="E108" s="35"/>
      <c r="F108" s="35"/>
    </row>
    <row r="109">
      <c r="B109" s="35"/>
      <c r="C109" s="35"/>
      <c r="D109" s="35"/>
      <c r="E109" s="35"/>
      <c r="F109" s="35"/>
    </row>
    <row r="110">
      <c r="B110" s="35"/>
      <c r="C110" s="35"/>
      <c r="D110" s="35"/>
      <c r="E110" s="35"/>
      <c r="F110" s="35"/>
    </row>
    <row r="111">
      <c r="B111" s="35"/>
      <c r="C111" s="35"/>
      <c r="D111" s="35"/>
      <c r="E111" s="35"/>
      <c r="F111" s="35"/>
    </row>
    <row r="112">
      <c r="B112" s="35"/>
      <c r="C112" s="35"/>
      <c r="D112" s="35"/>
      <c r="E112" s="35"/>
      <c r="F112" s="35"/>
    </row>
    <row r="113">
      <c r="B113" s="35"/>
      <c r="C113" s="35"/>
      <c r="D113" s="35"/>
      <c r="E113" s="35"/>
      <c r="F113" s="35"/>
    </row>
    <row r="114">
      <c r="B114" s="35"/>
      <c r="C114" s="35"/>
      <c r="D114" s="35"/>
      <c r="E114" s="35"/>
      <c r="F114" s="35"/>
    </row>
    <row r="115">
      <c r="B115" s="35"/>
      <c r="C115" s="35"/>
      <c r="D115" s="35"/>
      <c r="E115" s="35"/>
      <c r="F115" s="35"/>
    </row>
    <row r="116">
      <c r="B116" s="35"/>
      <c r="C116" s="35"/>
      <c r="D116" s="35"/>
      <c r="E116" s="35"/>
      <c r="F116" s="35"/>
    </row>
    <row r="117">
      <c r="B117" s="35"/>
      <c r="C117" s="35"/>
      <c r="D117" s="35"/>
      <c r="E117" s="35"/>
      <c r="F117" s="35"/>
    </row>
    <row r="118">
      <c r="B118" s="35"/>
      <c r="C118" s="35"/>
      <c r="D118" s="35"/>
      <c r="E118" s="35"/>
      <c r="F118" s="35"/>
    </row>
    <row r="119">
      <c r="B119" s="35"/>
      <c r="C119" s="35"/>
      <c r="D119" s="35"/>
      <c r="E119" s="35"/>
      <c r="F119" s="35"/>
    </row>
    <row r="120">
      <c r="B120" s="35"/>
      <c r="C120" s="35"/>
      <c r="D120" s="35"/>
      <c r="E120" s="35"/>
      <c r="F120" s="35"/>
    </row>
    <row r="121">
      <c r="B121" s="35"/>
      <c r="C121" s="35"/>
      <c r="D121" s="35"/>
      <c r="E121" s="35"/>
      <c r="F121" s="35"/>
    </row>
    <row r="122">
      <c r="B122" s="35"/>
      <c r="C122" s="35"/>
      <c r="D122" s="35"/>
      <c r="E122" s="35"/>
      <c r="F122" s="35"/>
    </row>
    <row r="123">
      <c r="B123" s="35"/>
      <c r="C123" s="35"/>
      <c r="D123" s="35"/>
      <c r="E123" s="35"/>
      <c r="F123" s="35"/>
    </row>
    <row r="124">
      <c r="B124" s="35"/>
      <c r="C124" s="35"/>
      <c r="D124" s="35"/>
      <c r="E124" s="35"/>
      <c r="F124" s="35"/>
    </row>
    <row r="125">
      <c r="B125" s="35"/>
      <c r="C125" s="35"/>
      <c r="D125" s="35"/>
      <c r="E125" s="35"/>
      <c r="F125" s="35"/>
    </row>
    <row r="126">
      <c r="B126" s="35"/>
      <c r="C126" s="35"/>
      <c r="D126" s="35"/>
      <c r="E126" s="35"/>
      <c r="F126" s="35"/>
    </row>
    <row r="127">
      <c r="B127" s="35"/>
      <c r="C127" s="35"/>
      <c r="D127" s="35"/>
      <c r="E127" s="35"/>
      <c r="F127" s="35"/>
    </row>
    <row r="128">
      <c r="B128" s="35"/>
      <c r="C128" s="35"/>
      <c r="D128" s="35"/>
      <c r="E128" s="35"/>
      <c r="F128" s="35"/>
    </row>
    <row r="129">
      <c r="B129" s="35"/>
      <c r="C129" s="35"/>
      <c r="D129" s="35"/>
      <c r="E129" s="35"/>
      <c r="F129" s="35"/>
    </row>
    <row r="130">
      <c r="B130" s="35"/>
      <c r="C130" s="35"/>
      <c r="D130" s="35"/>
      <c r="E130" s="35"/>
      <c r="F130" s="35"/>
    </row>
    <row r="131">
      <c r="B131" s="35"/>
      <c r="C131" s="35"/>
      <c r="D131" s="35"/>
      <c r="E131" s="35"/>
      <c r="F131" s="35"/>
    </row>
    <row r="132">
      <c r="B132" s="35"/>
      <c r="C132" s="35"/>
      <c r="D132" s="35"/>
      <c r="E132" s="35"/>
      <c r="F132" s="35"/>
    </row>
    <row r="133">
      <c r="B133" s="35"/>
      <c r="C133" s="35"/>
      <c r="D133" s="35"/>
      <c r="E133" s="35"/>
      <c r="F133" s="35"/>
    </row>
    <row r="134">
      <c r="B134" s="35"/>
      <c r="C134" s="35"/>
      <c r="D134" s="35"/>
      <c r="E134" s="35"/>
      <c r="F134" s="35"/>
    </row>
    <row r="135">
      <c r="B135" s="35"/>
      <c r="C135" s="35"/>
      <c r="D135" s="35"/>
      <c r="E135" s="35"/>
      <c r="F135" s="35"/>
    </row>
    <row r="136">
      <c r="B136" s="35"/>
      <c r="C136" s="35"/>
      <c r="D136" s="35"/>
      <c r="E136" s="35"/>
      <c r="F136" s="35"/>
    </row>
    <row r="137">
      <c r="B137" s="35"/>
      <c r="C137" s="35"/>
      <c r="D137" s="35"/>
      <c r="E137" s="35"/>
      <c r="F137" s="35"/>
    </row>
    <row r="138">
      <c r="B138" s="35"/>
      <c r="C138" s="35"/>
      <c r="D138" s="35"/>
      <c r="E138" s="35"/>
      <c r="F138" s="35"/>
    </row>
    <row r="139">
      <c r="B139" s="35"/>
      <c r="C139" s="35"/>
      <c r="D139" s="35"/>
      <c r="E139" s="35"/>
      <c r="F139" s="35"/>
    </row>
    <row r="140">
      <c r="B140" s="35"/>
      <c r="C140" s="35"/>
      <c r="D140" s="35"/>
      <c r="E140" s="35"/>
      <c r="F140" s="35"/>
    </row>
    <row r="141">
      <c r="B141" s="35"/>
      <c r="C141" s="35"/>
      <c r="D141" s="35"/>
      <c r="E141" s="35"/>
      <c r="F141" s="35"/>
    </row>
    <row r="142">
      <c r="B142" s="35"/>
      <c r="C142" s="35"/>
      <c r="D142" s="35"/>
      <c r="E142" s="35"/>
      <c r="F142" s="35"/>
    </row>
    <row r="143">
      <c r="B143" s="35"/>
      <c r="C143" s="35"/>
      <c r="D143" s="35"/>
      <c r="E143" s="35"/>
      <c r="F143" s="35"/>
    </row>
    <row r="144">
      <c r="B144" s="35"/>
      <c r="C144" s="35"/>
      <c r="D144" s="35"/>
      <c r="E144" s="35"/>
      <c r="F144" s="35"/>
    </row>
    <row r="145">
      <c r="B145" s="35"/>
      <c r="C145" s="35"/>
      <c r="D145" s="35"/>
      <c r="E145" s="35"/>
      <c r="F145" s="35"/>
    </row>
    <row r="146">
      <c r="B146" s="35"/>
      <c r="C146" s="35"/>
      <c r="D146" s="35"/>
      <c r="E146" s="35"/>
      <c r="F146" s="35"/>
    </row>
    <row r="147">
      <c r="B147" s="35"/>
      <c r="C147" s="35"/>
      <c r="D147" s="35"/>
      <c r="E147" s="35"/>
      <c r="F147" s="35"/>
    </row>
    <row r="148">
      <c r="B148" s="35"/>
      <c r="C148" s="35"/>
      <c r="D148" s="35"/>
      <c r="E148" s="35"/>
      <c r="F148" s="35"/>
    </row>
    <row r="149">
      <c r="B149" s="35"/>
      <c r="C149" s="35"/>
      <c r="D149" s="35"/>
      <c r="E149" s="35"/>
      <c r="F149" s="35"/>
    </row>
    <row r="150">
      <c r="B150" s="35"/>
      <c r="C150" s="35"/>
      <c r="D150" s="35"/>
      <c r="E150" s="35"/>
      <c r="F150" s="35"/>
    </row>
    <row r="151">
      <c r="B151" s="35"/>
      <c r="C151" s="35"/>
      <c r="D151" s="35"/>
      <c r="E151" s="35"/>
      <c r="F151" s="35"/>
    </row>
    <row r="152">
      <c r="B152" s="35"/>
      <c r="C152" s="35"/>
      <c r="D152" s="35"/>
      <c r="E152" s="35"/>
      <c r="F152" s="35"/>
    </row>
    <row r="153">
      <c r="B153" s="35"/>
      <c r="C153" s="35"/>
      <c r="D153" s="35"/>
      <c r="E153" s="35"/>
      <c r="F153" s="35"/>
    </row>
    <row r="154">
      <c r="B154" s="35"/>
      <c r="C154" s="35"/>
      <c r="D154" s="35"/>
      <c r="E154" s="35"/>
      <c r="F154" s="35"/>
    </row>
    <row r="155">
      <c r="B155" s="35"/>
      <c r="C155" s="35"/>
      <c r="D155" s="35"/>
      <c r="E155" s="35"/>
      <c r="F155" s="35"/>
    </row>
    <row r="156">
      <c r="B156" s="35"/>
      <c r="C156" s="35"/>
      <c r="D156" s="35"/>
      <c r="E156" s="35"/>
      <c r="F156" s="35"/>
    </row>
    <row r="157">
      <c r="B157" s="35"/>
      <c r="C157" s="35"/>
      <c r="D157" s="35"/>
      <c r="E157" s="35"/>
      <c r="F157" s="35"/>
    </row>
    <row r="158">
      <c r="B158" s="35"/>
      <c r="C158" s="35"/>
      <c r="D158" s="35"/>
      <c r="E158" s="35"/>
      <c r="F158" s="35"/>
    </row>
    <row r="159">
      <c r="B159" s="35"/>
      <c r="C159" s="35"/>
      <c r="D159" s="35"/>
      <c r="E159" s="35"/>
      <c r="F159" s="35"/>
    </row>
    <row r="160">
      <c r="B160" s="35"/>
      <c r="C160" s="35"/>
      <c r="D160" s="35"/>
      <c r="E160" s="35"/>
      <c r="F160" s="35"/>
    </row>
    <row r="161">
      <c r="B161" s="35"/>
      <c r="C161" s="35"/>
      <c r="D161" s="35"/>
      <c r="E161" s="35"/>
      <c r="F161" s="35"/>
    </row>
    <row r="162">
      <c r="B162" s="35"/>
      <c r="C162" s="35"/>
      <c r="D162" s="35"/>
      <c r="E162" s="35"/>
      <c r="F162" s="35"/>
    </row>
    <row r="163">
      <c r="B163" s="35"/>
      <c r="C163" s="35"/>
      <c r="D163" s="35"/>
      <c r="E163" s="35"/>
      <c r="F163" s="35"/>
    </row>
    <row r="164">
      <c r="B164" s="35"/>
      <c r="C164" s="35"/>
      <c r="D164" s="35"/>
      <c r="E164" s="35"/>
      <c r="F164" s="35"/>
    </row>
    <row r="165">
      <c r="B165" s="35"/>
      <c r="C165" s="35"/>
      <c r="D165" s="35"/>
      <c r="E165" s="35"/>
      <c r="F165" s="35"/>
    </row>
    <row r="166">
      <c r="B166" s="35"/>
      <c r="C166" s="35"/>
      <c r="D166" s="35"/>
      <c r="E166" s="35"/>
      <c r="F166" s="35"/>
    </row>
    <row r="167">
      <c r="B167" s="35"/>
      <c r="C167" s="35"/>
      <c r="D167" s="35"/>
      <c r="E167" s="35"/>
      <c r="F167" s="35"/>
    </row>
    <row r="168">
      <c r="B168" s="35"/>
      <c r="C168" s="35"/>
      <c r="D168" s="35"/>
      <c r="E168" s="35"/>
      <c r="F168" s="35"/>
    </row>
    <row r="169">
      <c r="B169" s="35"/>
      <c r="C169" s="35"/>
      <c r="D169" s="35"/>
      <c r="E169" s="35"/>
      <c r="F169" s="35"/>
    </row>
    <row r="170">
      <c r="B170" s="35"/>
      <c r="C170" s="35"/>
      <c r="D170" s="35"/>
      <c r="E170" s="35"/>
      <c r="F170" s="35"/>
    </row>
    <row r="171">
      <c r="B171" s="35"/>
      <c r="C171" s="35"/>
      <c r="D171" s="35"/>
      <c r="E171" s="35"/>
      <c r="F171" s="35"/>
    </row>
    <row r="172">
      <c r="B172" s="35"/>
      <c r="C172" s="35"/>
      <c r="D172" s="35"/>
      <c r="E172" s="35"/>
      <c r="F172" s="35"/>
    </row>
    <row r="173">
      <c r="B173" s="35"/>
      <c r="C173" s="35"/>
      <c r="D173" s="35"/>
      <c r="E173" s="35"/>
      <c r="F173" s="35"/>
    </row>
    <row r="174">
      <c r="B174" s="35"/>
      <c r="C174" s="35"/>
      <c r="D174" s="35"/>
      <c r="E174" s="35"/>
      <c r="F174" s="35"/>
    </row>
    <row r="175">
      <c r="B175" s="35"/>
      <c r="C175" s="35"/>
      <c r="D175" s="35"/>
      <c r="E175" s="35"/>
      <c r="F175" s="35"/>
    </row>
    <row r="176">
      <c r="B176" s="35"/>
      <c r="C176" s="35"/>
      <c r="D176" s="35"/>
      <c r="E176" s="35"/>
      <c r="F176" s="35"/>
    </row>
    <row r="177">
      <c r="B177" s="35"/>
      <c r="C177" s="35"/>
      <c r="D177" s="35"/>
      <c r="E177" s="35"/>
      <c r="F177" s="35"/>
    </row>
    <row r="178">
      <c r="B178" s="35"/>
      <c r="C178" s="35"/>
      <c r="D178" s="35"/>
      <c r="E178" s="35"/>
      <c r="F178" s="35"/>
    </row>
    <row r="179">
      <c r="B179" s="35"/>
      <c r="C179" s="35"/>
      <c r="D179" s="35"/>
      <c r="E179" s="35"/>
      <c r="F179" s="35"/>
    </row>
    <row r="180">
      <c r="B180" s="35"/>
      <c r="C180" s="35"/>
      <c r="D180" s="35"/>
      <c r="E180" s="35"/>
      <c r="F180" s="35"/>
    </row>
    <row r="181">
      <c r="B181" s="35"/>
      <c r="C181" s="35"/>
      <c r="D181" s="35"/>
      <c r="E181" s="35"/>
      <c r="F181" s="35"/>
    </row>
    <row r="182">
      <c r="B182" s="35"/>
      <c r="C182" s="35"/>
      <c r="D182" s="35"/>
      <c r="E182" s="35"/>
      <c r="F182" s="35"/>
    </row>
    <row r="183">
      <c r="B183" s="35"/>
      <c r="C183" s="35"/>
      <c r="D183" s="35"/>
      <c r="E183" s="35"/>
      <c r="F183" s="35"/>
    </row>
    <row r="184">
      <c r="B184" s="35"/>
      <c r="C184" s="35"/>
      <c r="D184" s="35"/>
      <c r="E184" s="35"/>
      <c r="F184" s="35"/>
    </row>
    <row r="185">
      <c r="B185" s="35"/>
      <c r="C185" s="35"/>
      <c r="D185" s="35"/>
      <c r="E185" s="35"/>
      <c r="F185" s="35"/>
    </row>
    <row r="186">
      <c r="B186" s="35"/>
      <c r="C186" s="35"/>
      <c r="D186" s="35"/>
      <c r="E186" s="35"/>
      <c r="F186" s="35"/>
    </row>
    <row r="187">
      <c r="B187" s="35"/>
      <c r="C187" s="35"/>
      <c r="D187" s="35"/>
      <c r="E187" s="35"/>
      <c r="F187" s="35"/>
    </row>
    <row r="188">
      <c r="B188" s="35"/>
      <c r="C188" s="35"/>
      <c r="D188" s="35"/>
      <c r="E188" s="35"/>
      <c r="F188" s="35"/>
    </row>
    <row r="189">
      <c r="B189" s="35"/>
      <c r="C189" s="35"/>
      <c r="D189" s="35"/>
      <c r="E189" s="35"/>
      <c r="F189" s="35"/>
    </row>
    <row r="190">
      <c r="B190" s="35"/>
      <c r="C190" s="35"/>
      <c r="D190" s="35"/>
      <c r="E190" s="35"/>
      <c r="F190" s="35"/>
    </row>
    <row r="191">
      <c r="B191" s="35"/>
      <c r="C191" s="35"/>
      <c r="D191" s="35"/>
      <c r="E191" s="35"/>
      <c r="F191" s="35"/>
    </row>
    <row r="192">
      <c r="B192" s="35"/>
      <c r="C192" s="35"/>
      <c r="D192" s="35"/>
      <c r="E192" s="35"/>
      <c r="F192" s="35"/>
    </row>
    <row r="193">
      <c r="B193" s="35"/>
      <c r="C193" s="35"/>
      <c r="D193" s="35"/>
      <c r="E193" s="35"/>
      <c r="F193" s="35"/>
    </row>
    <row r="194">
      <c r="B194" s="35"/>
      <c r="C194" s="35"/>
      <c r="D194" s="35"/>
      <c r="E194" s="35"/>
      <c r="F194" s="35"/>
    </row>
    <row r="195">
      <c r="B195" s="35"/>
      <c r="C195" s="35"/>
      <c r="D195" s="35"/>
      <c r="E195" s="35"/>
      <c r="F195" s="35"/>
    </row>
    <row r="196">
      <c r="B196" s="35"/>
      <c r="C196" s="35"/>
      <c r="D196" s="35"/>
      <c r="E196" s="35"/>
      <c r="F196" s="35"/>
    </row>
    <row r="197">
      <c r="B197" s="35"/>
      <c r="C197" s="35"/>
      <c r="D197" s="35"/>
      <c r="E197" s="35"/>
      <c r="F197" s="35"/>
    </row>
    <row r="198">
      <c r="B198" s="35"/>
      <c r="C198" s="35"/>
      <c r="D198" s="35"/>
      <c r="E198" s="35"/>
      <c r="F198" s="35"/>
    </row>
    <row r="199">
      <c r="B199" s="35"/>
      <c r="C199" s="35"/>
      <c r="D199" s="35"/>
      <c r="E199" s="35"/>
      <c r="F199" s="35"/>
    </row>
    <row r="200">
      <c r="B200" s="35"/>
      <c r="C200" s="35"/>
      <c r="D200" s="35"/>
      <c r="E200" s="35"/>
      <c r="F200" s="35"/>
    </row>
    <row r="201">
      <c r="B201" s="35"/>
      <c r="C201" s="35"/>
      <c r="D201" s="35"/>
      <c r="E201" s="35"/>
      <c r="F201" s="35"/>
    </row>
    <row r="202">
      <c r="B202" s="35"/>
      <c r="C202" s="35"/>
      <c r="D202" s="35"/>
      <c r="E202" s="35"/>
      <c r="F202" s="35"/>
    </row>
    <row r="203">
      <c r="B203" s="35"/>
      <c r="C203" s="35"/>
      <c r="D203" s="35"/>
      <c r="E203" s="35"/>
      <c r="F203" s="35"/>
    </row>
    <row r="204">
      <c r="B204" s="35"/>
      <c r="C204" s="35"/>
      <c r="D204" s="35"/>
      <c r="E204" s="35"/>
      <c r="F204" s="35"/>
    </row>
    <row r="205">
      <c r="B205" s="35"/>
      <c r="C205" s="35"/>
      <c r="D205" s="35"/>
      <c r="E205" s="35"/>
      <c r="F205" s="35"/>
    </row>
    <row r="206">
      <c r="B206" s="35"/>
      <c r="C206" s="35"/>
      <c r="D206" s="35"/>
      <c r="E206" s="35"/>
      <c r="F206" s="35"/>
    </row>
    <row r="207">
      <c r="B207" s="35"/>
      <c r="C207" s="35"/>
      <c r="D207" s="35"/>
      <c r="E207" s="35"/>
      <c r="F207" s="35"/>
    </row>
    <row r="208">
      <c r="B208" s="35"/>
      <c r="C208" s="35"/>
      <c r="D208" s="35"/>
      <c r="E208" s="35"/>
      <c r="F208" s="35"/>
    </row>
    <row r="209">
      <c r="B209" s="35"/>
      <c r="C209" s="35"/>
      <c r="D209" s="35"/>
      <c r="E209" s="35"/>
      <c r="F209" s="35"/>
    </row>
    <row r="210">
      <c r="B210" s="35"/>
      <c r="C210" s="35"/>
      <c r="D210" s="35"/>
      <c r="E210" s="35"/>
      <c r="F210" s="35"/>
    </row>
    <row r="211">
      <c r="B211" s="35"/>
      <c r="C211" s="35"/>
      <c r="D211" s="35"/>
      <c r="E211" s="35"/>
      <c r="F211" s="35"/>
    </row>
    <row r="212">
      <c r="B212" s="35"/>
      <c r="C212" s="35"/>
      <c r="D212" s="35"/>
      <c r="E212" s="35"/>
      <c r="F212" s="35"/>
    </row>
    <row r="213">
      <c r="B213" s="35"/>
      <c r="C213" s="35"/>
      <c r="D213" s="35"/>
      <c r="E213" s="35"/>
      <c r="F213" s="35"/>
    </row>
    <row r="214">
      <c r="B214" s="35"/>
      <c r="C214" s="35"/>
      <c r="D214" s="35"/>
      <c r="E214" s="35"/>
      <c r="F214" s="35"/>
    </row>
    <row r="215">
      <c r="B215" s="35"/>
      <c r="C215" s="35"/>
      <c r="D215" s="35"/>
      <c r="E215" s="35"/>
      <c r="F215" s="35"/>
    </row>
    <row r="216">
      <c r="B216" s="35"/>
      <c r="C216" s="35"/>
      <c r="D216" s="35"/>
      <c r="E216" s="35"/>
      <c r="F216" s="35"/>
    </row>
    <row r="217">
      <c r="B217" s="35"/>
      <c r="C217" s="35"/>
      <c r="D217" s="35"/>
      <c r="E217" s="35"/>
      <c r="F217" s="35"/>
    </row>
    <row r="218">
      <c r="B218" s="35"/>
      <c r="C218" s="35"/>
      <c r="D218" s="35"/>
      <c r="E218" s="35"/>
      <c r="F218" s="35"/>
    </row>
    <row r="219">
      <c r="B219" s="35"/>
      <c r="C219" s="35"/>
      <c r="D219" s="35"/>
      <c r="E219" s="35"/>
      <c r="F219" s="35"/>
    </row>
    <row r="220">
      <c r="B220" s="35"/>
      <c r="C220" s="35"/>
      <c r="D220" s="35"/>
      <c r="E220" s="35"/>
      <c r="F220" s="35"/>
    </row>
    <row r="221">
      <c r="B221" s="35"/>
      <c r="C221" s="35"/>
      <c r="D221" s="35"/>
      <c r="E221" s="35"/>
      <c r="F221" s="35"/>
    </row>
    <row r="222">
      <c r="B222" s="35"/>
      <c r="C222" s="35"/>
      <c r="D222" s="35"/>
      <c r="E222" s="35"/>
      <c r="F222" s="35"/>
    </row>
    <row r="223">
      <c r="B223" s="35"/>
      <c r="C223" s="35"/>
      <c r="D223" s="35"/>
      <c r="E223" s="35"/>
      <c r="F223" s="35"/>
    </row>
    <row r="224">
      <c r="B224" s="35"/>
      <c r="C224" s="35"/>
      <c r="D224" s="35"/>
      <c r="E224" s="35"/>
      <c r="F224" s="35"/>
    </row>
    <row r="225">
      <c r="B225" s="35"/>
      <c r="C225" s="35"/>
      <c r="D225" s="35"/>
      <c r="E225" s="35"/>
      <c r="F225" s="35"/>
    </row>
    <row r="226">
      <c r="B226" s="35"/>
      <c r="C226" s="35"/>
      <c r="D226" s="35"/>
      <c r="E226" s="35"/>
      <c r="F226" s="35"/>
    </row>
    <row r="227">
      <c r="B227" s="35"/>
      <c r="C227" s="35"/>
      <c r="D227" s="35"/>
      <c r="E227" s="35"/>
      <c r="F227" s="35"/>
    </row>
    <row r="228">
      <c r="B228" s="35"/>
      <c r="C228" s="35"/>
      <c r="D228" s="35"/>
      <c r="E228" s="35"/>
      <c r="F228" s="35"/>
    </row>
    <row r="229">
      <c r="B229" s="35"/>
      <c r="C229" s="35"/>
      <c r="D229" s="35"/>
      <c r="E229" s="35"/>
      <c r="F229" s="35"/>
    </row>
    <row r="230">
      <c r="B230" s="35"/>
      <c r="C230" s="35"/>
      <c r="D230" s="35"/>
      <c r="E230" s="35"/>
      <c r="F230" s="35"/>
    </row>
    <row r="231">
      <c r="B231" s="35"/>
      <c r="C231" s="35"/>
      <c r="D231" s="35"/>
      <c r="E231" s="35"/>
      <c r="F231" s="35"/>
    </row>
    <row r="232">
      <c r="B232" s="35"/>
      <c r="C232" s="35"/>
      <c r="D232" s="35"/>
      <c r="E232" s="35"/>
      <c r="F232" s="35"/>
    </row>
    <row r="233">
      <c r="B233" s="35"/>
      <c r="C233" s="35"/>
      <c r="D233" s="35"/>
      <c r="E233" s="35"/>
      <c r="F233" s="35"/>
    </row>
    <row r="234">
      <c r="B234" s="35"/>
      <c r="C234" s="35"/>
      <c r="D234" s="35"/>
      <c r="E234" s="35"/>
      <c r="F234" s="35"/>
    </row>
    <row r="235">
      <c r="B235" s="35"/>
      <c r="C235" s="35"/>
      <c r="D235" s="35"/>
      <c r="E235" s="35"/>
      <c r="F235" s="35"/>
    </row>
    <row r="236">
      <c r="B236" s="35"/>
      <c r="C236" s="35"/>
      <c r="D236" s="35"/>
      <c r="E236" s="35"/>
      <c r="F236" s="35"/>
    </row>
    <row r="237">
      <c r="B237" s="35"/>
      <c r="C237" s="35"/>
      <c r="D237" s="35"/>
      <c r="E237" s="35"/>
      <c r="F237" s="35"/>
    </row>
    <row r="238">
      <c r="B238" s="35"/>
      <c r="C238" s="35"/>
      <c r="D238" s="35"/>
      <c r="E238" s="35"/>
      <c r="F238" s="35"/>
    </row>
    <row r="239">
      <c r="B239" s="35"/>
      <c r="C239" s="35"/>
      <c r="D239" s="35"/>
      <c r="E239" s="35"/>
      <c r="F239" s="35"/>
    </row>
    <row r="240">
      <c r="B240" s="35"/>
      <c r="C240" s="35"/>
      <c r="D240" s="35"/>
      <c r="E240" s="35"/>
      <c r="F240" s="35"/>
    </row>
    <row r="241">
      <c r="B241" s="35"/>
      <c r="C241" s="35"/>
      <c r="D241" s="35"/>
      <c r="E241" s="35"/>
      <c r="F241" s="35"/>
    </row>
    <row r="242">
      <c r="B242" s="35"/>
      <c r="C242" s="35"/>
      <c r="D242" s="35"/>
      <c r="E242" s="35"/>
      <c r="F242" s="35"/>
    </row>
    <row r="243">
      <c r="B243" s="35"/>
      <c r="C243" s="35"/>
      <c r="D243" s="35"/>
      <c r="E243" s="35"/>
      <c r="F243" s="35"/>
    </row>
    <row r="244">
      <c r="B244" s="35"/>
      <c r="C244" s="35"/>
      <c r="D244" s="35"/>
      <c r="E244" s="35"/>
      <c r="F244" s="35"/>
    </row>
    <row r="245">
      <c r="B245" s="35"/>
      <c r="C245" s="35"/>
      <c r="D245" s="35"/>
      <c r="E245" s="35"/>
      <c r="F245" s="35"/>
    </row>
    <row r="246">
      <c r="B246" s="35"/>
      <c r="C246" s="35"/>
      <c r="D246" s="35"/>
      <c r="E246" s="35"/>
      <c r="F246" s="35"/>
    </row>
    <row r="247">
      <c r="B247" s="35"/>
      <c r="C247" s="35"/>
      <c r="D247" s="35"/>
      <c r="E247" s="35"/>
      <c r="F247" s="35"/>
    </row>
    <row r="248">
      <c r="B248" s="35"/>
      <c r="C248" s="35"/>
      <c r="D248" s="35"/>
      <c r="E248" s="35"/>
      <c r="F248" s="35"/>
    </row>
    <row r="249">
      <c r="B249" s="35"/>
      <c r="C249" s="35"/>
      <c r="D249" s="35"/>
      <c r="E249" s="35"/>
      <c r="F249" s="35"/>
    </row>
    <row r="250">
      <c r="B250" s="35"/>
      <c r="C250" s="35"/>
      <c r="D250" s="35"/>
      <c r="E250" s="35"/>
      <c r="F250" s="35"/>
    </row>
    <row r="251">
      <c r="B251" s="35"/>
      <c r="C251" s="35"/>
      <c r="D251" s="35"/>
      <c r="E251" s="35"/>
      <c r="F251" s="35"/>
    </row>
    <row r="252">
      <c r="B252" s="35"/>
      <c r="C252" s="35"/>
      <c r="D252" s="35"/>
      <c r="E252" s="35"/>
      <c r="F252" s="35"/>
    </row>
    <row r="253">
      <c r="B253" s="35"/>
      <c r="C253" s="35"/>
      <c r="D253" s="35"/>
      <c r="E253" s="35"/>
      <c r="F253" s="35"/>
    </row>
    <row r="254">
      <c r="B254" s="35"/>
      <c r="C254" s="35"/>
      <c r="D254" s="35"/>
      <c r="E254" s="35"/>
      <c r="F254" s="35"/>
    </row>
    <row r="255">
      <c r="B255" s="35"/>
      <c r="C255" s="35"/>
      <c r="D255" s="35"/>
      <c r="E255" s="35"/>
      <c r="F255" s="35"/>
    </row>
    <row r="256">
      <c r="B256" s="35"/>
      <c r="C256" s="35"/>
      <c r="D256" s="35"/>
      <c r="E256" s="35"/>
      <c r="F256" s="35"/>
    </row>
    <row r="257">
      <c r="B257" s="35"/>
      <c r="C257" s="35"/>
      <c r="D257" s="35"/>
      <c r="E257" s="35"/>
      <c r="F257" s="35"/>
    </row>
    <row r="258">
      <c r="B258" s="35"/>
      <c r="C258" s="35"/>
      <c r="D258" s="35"/>
      <c r="E258" s="35"/>
      <c r="F258" s="35"/>
    </row>
    <row r="259">
      <c r="B259" s="35"/>
      <c r="C259" s="35"/>
      <c r="D259" s="35"/>
      <c r="E259" s="35"/>
      <c r="F259" s="35"/>
    </row>
    <row r="260">
      <c r="B260" s="35"/>
      <c r="C260" s="35"/>
      <c r="D260" s="35"/>
      <c r="E260" s="35"/>
      <c r="F260" s="35"/>
    </row>
    <row r="261">
      <c r="B261" s="35"/>
      <c r="C261" s="35"/>
      <c r="D261" s="35"/>
      <c r="E261" s="35"/>
      <c r="F261" s="35"/>
    </row>
    <row r="262">
      <c r="B262" s="35"/>
      <c r="C262" s="35"/>
      <c r="D262" s="35"/>
      <c r="E262" s="35"/>
      <c r="F262" s="35"/>
    </row>
    <row r="263">
      <c r="B263" s="35"/>
      <c r="C263" s="35"/>
      <c r="D263" s="35"/>
      <c r="E263" s="35"/>
      <c r="F263" s="35"/>
    </row>
    <row r="264">
      <c r="B264" s="35"/>
      <c r="C264" s="35"/>
      <c r="D264" s="35"/>
      <c r="E264" s="35"/>
      <c r="F264" s="35"/>
    </row>
    <row r="265">
      <c r="B265" s="35"/>
      <c r="C265" s="35"/>
      <c r="D265" s="35"/>
      <c r="E265" s="35"/>
      <c r="F265" s="35"/>
    </row>
    <row r="266">
      <c r="B266" s="35"/>
      <c r="C266" s="35"/>
      <c r="D266" s="35"/>
      <c r="E266" s="35"/>
      <c r="F266" s="35"/>
    </row>
    <row r="267">
      <c r="B267" s="35"/>
      <c r="C267" s="35"/>
      <c r="D267" s="35"/>
      <c r="E267" s="35"/>
      <c r="F267" s="35"/>
    </row>
    <row r="268">
      <c r="B268" s="35"/>
      <c r="C268" s="35"/>
      <c r="D268" s="35"/>
      <c r="E268" s="35"/>
      <c r="F268" s="35"/>
    </row>
    <row r="269">
      <c r="B269" s="35"/>
      <c r="C269" s="35"/>
      <c r="D269" s="35"/>
      <c r="E269" s="35"/>
      <c r="F269" s="35"/>
    </row>
    <row r="270">
      <c r="B270" s="35"/>
      <c r="C270" s="35"/>
      <c r="D270" s="35"/>
      <c r="E270" s="35"/>
      <c r="F270" s="35"/>
    </row>
    <row r="271">
      <c r="B271" s="35"/>
      <c r="C271" s="35"/>
      <c r="D271" s="35"/>
      <c r="E271" s="35"/>
      <c r="F271" s="35"/>
    </row>
    <row r="272">
      <c r="B272" s="35"/>
      <c r="C272" s="35"/>
      <c r="D272" s="35"/>
      <c r="E272" s="35"/>
      <c r="F272" s="35"/>
    </row>
    <row r="273">
      <c r="B273" s="35"/>
      <c r="C273" s="35"/>
      <c r="D273" s="35"/>
      <c r="E273" s="35"/>
      <c r="F273" s="35"/>
    </row>
    <row r="274">
      <c r="B274" s="35"/>
      <c r="C274" s="35"/>
      <c r="D274" s="35"/>
      <c r="E274" s="35"/>
      <c r="F274" s="35"/>
    </row>
    <row r="275">
      <c r="B275" s="35"/>
      <c r="C275" s="35"/>
      <c r="D275" s="35"/>
      <c r="E275" s="35"/>
      <c r="F275" s="35"/>
    </row>
    <row r="276">
      <c r="B276" s="35"/>
      <c r="C276" s="35"/>
      <c r="D276" s="35"/>
      <c r="E276" s="35"/>
      <c r="F276" s="35"/>
    </row>
    <row r="277">
      <c r="B277" s="35"/>
      <c r="C277" s="35"/>
      <c r="D277" s="35"/>
      <c r="E277" s="35"/>
      <c r="F277" s="35"/>
    </row>
    <row r="278">
      <c r="B278" s="35"/>
      <c r="C278" s="35"/>
      <c r="D278" s="35"/>
      <c r="E278" s="35"/>
      <c r="F278" s="35"/>
    </row>
    <row r="279">
      <c r="B279" s="35"/>
      <c r="C279" s="35"/>
      <c r="D279" s="35"/>
      <c r="E279" s="35"/>
      <c r="F279" s="35"/>
    </row>
    <row r="280">
      <c r="B280" s="35"/>
      <c r="C280" s="35"/>
      <c r="D280" s="35"/>
      <c r="E280" s="35"/>
      <c r="F280" s="35"/>
    </row>
    <row r="281">
      <c r="B281" s="35"/>
      <c r="C281" s="35"/>
      <c r="D281" s="35"/>
      <c r="E281" s="35"/>
      <c r="F281" s="35"/>
    </row>
    <row r="282">
      <c r="B282" s="35"/>
      <c r="C282" s="35"/>
      <c r="D282" s="35"/>
      <c r="E282" s="35"/>
      <c r="F282" s="35"/>
    </row>
    <row r="283">
      <c r="B283" s="35"/>
      <c r="C283" s="35"/>
      <c r="D283" s="35"/>
      <c r="E283" s="35"/>
      <c r="F283" s="35"/>
    </row>
    <row r="284">
      <c r="B284" s="35"/>
      <c r="C284" s="35"/>
      <c r="D284" s="35"/>
      <c r="E284" s="35"/>
      <c r="F284" s="35"/>
    </row>
    <row r="285">
      <c r="B285" s="35"/>
      <c r="C285" s="35"/>
      <c r="D285" s="35"/>
      <c r="E285" s="35"/>
      <c r="F285" s="35"/>
    </row>
    <row r="286">
      <c r="B286" s="35"/>
      <c r="C286" s="35"/>
      <c r="D286" s="35"/>
      <c r="E286" s="35"/>
      <c r="F286" s="35"/>
    </row>
    <row r="287">
      <c r="B287" s="35"/>
      <c r="C287" s="35"/>
      <c r="D287" s="35"/>
      <c r="E287" s="35"/>
      <c r="F287" s="35"/>
    </row>
    <row r="288">
      <c r="B288" s="35"/>
      <c r="C288" s="35"/>
      <c r="D288" s="35"/>
      <c r="E288" s="35"/>
      <c r="F288" s="35"/>
    </row>
    <row r="289">
      <c r="B289" s="35"/>
      <c r="C289" s="35"/>
      <c r="D289" s="35"/>
      <c r="E289" s="35"/>
      <c r="F289" s="35"/>
    </row>
    <row r="290">
      <c r="B290" s="35"/>
      <c r="C290" s="35"/>
      <c r="D290" s="35"/>
      <c r="E290" s="35"/>
      <c r="F290" s="35"/>
    </row>
    <row r="291">
      <c r="B291" s="35"/>
      <c r="C291" s="35"/>
      <c r="D291" s="35"/>
      <c r="E291" s="35"/>
      <c r="F291" s="35"/>
    </row>
    <row r="292">
      <c r="B292" s="35"/>
      <c r="C292" s="35"/>
      <c r="D292" s="35"/>
      <c r="E292" s="35"/>
      <c r="F292" s="35"/>
    </row>
    <row r="293">
      <c r="B293" s="35"/>
      <c r="C293" s="35"/>
      <c r="D293" s="35"/>
      <c r="E293" s="35"/>
      <c r="F293" s="35"/>
    </row>
    <row r="294">
      <c r="B294" s="35"/>
      <c r="C294" s="35"/>
      <c r="D294" s="35"/>
      <c r="E294" s="35"/>
      <c r="F294" s="35"/>
    </row>
    <row r="295">
      <c r="B295" s="35"/>
      <c r="C295" s="35"/>
      <c r="D295" s="35"/>
      <c r="E295" s="35"/>
      <c r="F295" s="35"/>
    </row>
    <row r="296">
      <c r="B296" s="35"/>
      <c r="C296" s="35"/>
      <c r="D296" s="35"/>
      <c r="E296" s="35"/>
      <c r="F296" s="35"/>
    </row>
    <row r="297">
      <c r="B297" s="35"/>
      <c r="C297" s="35"/>
      <c r="D297" s="35"/>
      <c r="E297" s="35"/>
      <c r="F297" s="35"/>
    </row>
    <row r="298">
      <c r="B298" s="35"/>
      <c r="C298" s="35"/>
      <c r="D298" s="35"/>
      <c r="E298" s="35"/>
      <c r="F298" s="35"/>
    </row>
    <row r="299">
      <c r="B299" s="35"/>
      <c r="C299" s="35"/>
      <c r="D299" s="35"/>
      <c r="E299" s="35"/>
      <c r="F299" s="35"/>
    </row>
    <row r="300">
      <c r="B300" s="35"/>
      <c r="C300" s="35"/>
      <c r="D300" s="35"/>
      <c r="E300" s="35"/>
      <c r="F300" s="35"/>
    </row>
    <row r="301">
      <c r="B301" s="35"/>
      <c r="C301" s="35"/>
      <c r="D301" s="35"/>
      <c r="E301" s="35"/>
      <c r="F301" s="35"/>
    </row>
    <row r="302">
      <c r="B302" s="35"/>
      <c r="C302" s="35"/>
      <c r="D302" s="35"/>
      <c r="E302" s="35"/>
      <c r="F302" s="35"/>
    </row>
    <row r="303">
      <c r="B303" s="35"/>
      <c r="C303" s="35"/>
      <c r="D303" s="35"/>
      <c r="E303" s="35"/>
      <c r="F303" s="35"/>
    </row>
    <row r="304">
      <c r="B304" s="35"/>
      <c r="C304" s="35"/>
      <c r="D304" s="35"/>
      <c r="E304" s="35"/>
      <c r="F304" s="35"/>
    </row>
    <row r="305">
      <c r="B305" s="35"/>
      <c r="C305" s="35"/>
      <c r="D305" s="35"/>
      <c r="E305" s="35"/>
      <c r="F305" s="35"/>
    </row>
    <row r="306">
      <c r="B306" s="35"/>
      <c r="C306" s="35"/>
      <c r="D306" s="35"/>
      <c r="E306" s="35"/>
      <c r="F306" s="35"/>
    </row>
    <row r="307">
      <c r="B307" s="35"/>
      <c r="C307" s="35"/>
      <c r="D307" s="35"/>
      <c r="E307" s="35"/>
      <c r="F307" s="35"/>
    </row>
    <row r="308">
      <c r="B308" s="35"/>
      <c r="C308" s="35"/>
      <c r="D308" s="35"/>
      <c r="E308" s="35"/>
      <c r="F308" s="35"/>
    </row>
    <row r="309">
      <c r="B309" s="35"/>
      <c r="C309" s="35"/>
      <c r="D309" s="35"/>
      <c r="E309" s="35"/>
      <c r="F309" s="35"/>
    </row>
    <row r="310">
      <c r="B310" s="35"/>
      <c r="C310" s="35"/>
      <c r="D310" s="35"/>
      <c r="E310" s="35"/>
      <c r="F310" s="35"/>
    </row>
    <row r="311">
      <c r="B311" s="35"/>
      <c r="C311" s="35"/>
      <c r="D311" s="35"/>
      <c r="E311" s="35"/>
      <c r="F311" s="35"/>
    </row>
    <row r="312">
      <c r="B312" s="35"/>
      <c r="C312" s="35"/>
      <c r="D312" s="35"/>
      <c r="E312" s="35"/>
      <c r="F312" s="35"/>
    </row>
    <row r="313">
      <c r="B313" s="35"/>
      <c r="C313" s="35"/>
      <c r="D313" s="35"/>
      <c r="E313" s="35"/>
      <c r="F313" s="35"/>
    </row>
    <row r="314">
      <c r="B314" s="35"/>
      <c r="C314" s="35"/>
      <c r="D314" s="35"/>
      <c r="E314" s="35"/>
      <c r="F314" s="35"/>
    </row>
    <row r="315">
      <c r="B315" s="35"/>
      <c r="C315" s="35"/>
      <c r="D315" s="35"/>
      <c r="E315" s="35"/>
      <c r="F315" s="35"/>
    </row>
    <row r="316">
      <c r="B316" s="35"/>
      <c r="C316" s="35"/>
      <c r="D316" s="35"/>
      <c r="E316" s="35"/>
      <c r="F316" s="35"/>
    </row>
    <row r="317">
      <c r="B317" s="35"/>
      <c r="C317" s="35"/>
      <c r="D317" s="35"/>
      <c r="E317" s="35"/>
      <c r="F317" s="35"/>
    </row>
    <row r="318">
      <c r="B318" s="35"/>
      <c r="C318" s="35"/>
      <c r="D318" s="35"/>
      <c r="E318" s="35"/>
      <c r="F318" s="35"/>
    </row>
    <row r="319">
      <c r="B319" s="35"/>
      <c r="C319" s="35"/>
      <c r="D319" s="35"/>
      <c r="E319" s="35"/>
      <c r="F319" s="35"/>
    </row>
    <row r="320">
      <c r="B320" s="35"/>
      <c r="C320" s="35"/>
      <c r="D320" s="35"/>
      <c r="E320" s="35"/>
      <c r="F320" s="35"/>
    </row>
    <row r="321">
      <c r="B321" s="35"/>
      <c r="C321" s="35"/>
      <c r="D321" s="35"/>
      <c r="E321" s="35"/>
      <c r="F321" s="35"/>
    </row>
    <row r="322">
      <c r="B322" s="35"/>
      <c r="C322" s="35"/>
      <c r="D322" s="35"/>
      <c r="E322" s="35"/>
      <c r="F322" s="35"/>
    </row>
    <row r="323">
      <c r="B323" s="35"/>
      <c r="C323" s="35"/>
      <c r="D323" s="35"/>
      <c r="E323" s="35"/>
      <c r="F323" s="35"/>
    </row>
    <row r="324">
      <c r="B324" s="35"/>
      <c r="C324" s="35"/>
      <c r="D324" s="35"/>
      <c r="E324" s="35"/>
      <c r="F324" s="35"/>
    </row>
    <row r="325">
      <c r="B325" s="35"/>
      <c r="C325" s="35"/>
      <c r="D325" s="35"/>
      <c r="E325" s="35"/>
      <c r="F325" s="35"/>
    </row>
    <row r="326">
      <c r="B326" s="35"/>
      <c r="C326" s="35"/>
      <c r="D326" s="35"/>
      <c r="E326" s="35"/>
      <c r="F326" s="35"/>
    </row>
    <row r="327">
      <c r="B327" s="35"/>
      <c r="C327" s="35"/>
      <c r="D327" s="35"/>
      <c r="E327" s="35"/>
      <c r="F327" s="35"/>
    </row>
    <row r="328">
      <c r="B328" s="35"/>
      <c r="C328" s="35"/>
      <c r="D328" s="35"/>
      <c r="E328" s="35"/>
      <c r="F328" s="35"/>
    </row>
    <row r="329">
      <c r="B329" s="35"/>
      <c r="C329" s="35"/>
      <c r="D329" s="35"/>
      <c r="E329" s="35"/>
      <c r="F329" s="35"/>
    </row>
    <row r="330">
      <c r="B330" s="35"/>
      <c r="C330" s="35"/>
      <c r="D330" s="35"/>
      <c r="E330" s="35"/>
      <c r="F330" s="35"/>
    </row>
    <row r="331">
      <c r="B331" s="35"/>
      <c r="C331" s="35"/>
      <c r="D331" s="35"/>
      <c r="E331" s="35"/>
      <c r="F331" s="35"/>
    </row>
    <row r="332">
      <c r="B332" s="35"/>
      <c r="C332" s="35"/>
      <c r="D332" s="35"/>
      <c r="E332" s="35"/>
      <c r="F332" s="35"/>
    </row>
    <row r="333">
      <c r="B333" s="35"/>
      <c r="C333" s="35"/>
      <c r="D333" s="35"/>
      <c r="E333" s="35"/>
      <c r="F333" s="35"/>
    </row>
    <row r="334">
      <c r="B334" s="35"/>
      <c r="C334" s="35"/>
      <c r="D334" s="35"/>
      <c r="E334" s="35"/>
      <c r="F334" s="35"/>
    </row>
    <row r="335">
      <c r="B335" s="35"/>
      <c r="C335" s="35"/>
      <c r="D335" s="35"/>
      <c r="E335" s="35"/>
      <c r="F335" s="35"/>
    </row>
    <row r="336">
      <c r="B336" s="35"/>
      <c r="C336" s="35"/>
      <c r="D336" s="35"/>
      <c r="E336" s="35"/>
      <c r="F336" s="35"/>
    </row>
    <row r="337">
      <c r="B337" s="35"/>
      <c r="C337" s="35"/>
      <c r="D337" s="35"/>
      <c r="E337" s="35"/>
      <c r="F337" s="35"/>
    </row>
    <row r="338">
      <c r="B338" s="35"/>
      <c r="C338" s="35"/>
      <c r="D338" s="35"/>
      <c r="E338" s="35"/>
      <c r="F338" s="35"/>
    </row>
    <row r="339">
      <c r="B339" s="35"/>
      <c r="C339" s="35"/>
      <c r="D339" s="35"/>
      <c r="E339" s="35"/>
      <c r="F339" s="35"/>
    </row>
    <row r="340">
      <c r="B340" s="35"/>
      <c r="C340" s="35"/>
      <c r="D340" s="35"/>
      <c r="E340" s="35"/>
      <c r="F340" s="35"/>
    </row>
    <row r="341">
      <c r="B341" s="35"/>
      <c r="C341" s="35"/>
      <c r="D341" s="35"/>
      <c r="E341" s="35"/>
      <c r="F341" s="35"/>
    </row>
    <row r="342">
      <c r="B342" s="35"/>
      <c r="C342" s="35"/>
      <c r="D342" s="35"/>
      <c r="E342" s="35"/>
      <c r="F342" s="35"/>
    </row>
    <row r="343">
      <c r="B343" s="35"/>
      <c r="C343" s="35"/>
      <c r="D343" s="35"/>
      <c r="E343" s="35"/>
      <c r="F343" s="35"/>
    </row>
    <row r="344">
      <c r="B344" s="35"/>
      <c r="C344" s="35"/>
      <c r="D344" s="35"/>
      <c r="E344" s="35"/>
      <c r="F344" s="35"/>
    </row>
    <row r="345">
      <c r="B345" s="35"/>
      <c r="C345" s="35"/>
      <c r="D345" s="35"/>
      <c r="E345" s="35"/>
      <c r="F345" s="35"/>
    </row>
    <row r="346">
      <c r="B346" s="35"/>
      <c r="C346" s="35"/>
      <c r="D346" s="35"/>
      <c r="E346" s="35"/>
      <c r="F346" s="35"/>
    </row>
    <row r="347">
      <c r="B347" s="35"/>
      <c r="C347" s="35"/>
      <c r="D347" s="35"/>
      <c r="E347" s="35"/>
      <c r="F347" s="35"/>
    </row>
    <row r="348">
      <c r="B348" s="35"/>
      <c r="C348" s="35"/>
      <c r="D348" s="35"/>
      <c r="E348" s="35"/>
      <c r="F348" s="35"/>
    </row>
    <row r="349">
      <c r="B349" s="35"/>
      <c r="C349" s="35"/>
      <c r="D349" s="35"/>
      <c r="E349" s="35"/>
      <c r="F349" s="35"/>
    </row>
    <row r="350">
      <c r="B350" s="35"/>
      <c r="C350" s="35"/>
      <c r="D350" s="35"/>
      <c r="E350" s="35"/>
      <c r="F350" s="35"/>
    </row>
    <row r="351">
      <c r="B351" s="35"/>
      <c r="C351" s="35"/>
      <c r="D351" s="35"/>
      <c r="E351" s="35"/>
      <c r="F351" s="35"/>
    </row>
    <row r="352">
      <c r="B352" s="35"/>
      <c r="C352" s="35"/>
      <c r="D352" s="35"/>
      <c r="E352" s="35"/>
      <c r="F352" s="35"/>
    </row>
    <row r="353">
      <c r="B353" s="35"/>
      <c r="C353" s="35"/>
      <c r="D353" s="35"/>
      <c r="E353" s="35"/>
      <c r="F353" s="35"/>
    </row>
    <row r="354">
      <c r="B354" s="35"/>
      <c r="C354" s="35"/>
      <c r="D354" s="35"/>
      <c r="E354" s="35"/>
      <c r="F354" s="35"/>
    </row>
    <row r="355">
      <c r="B355" s="35"/>
      <c r="C355" s="35"/>
      <c r="D355" s="35"/>
      <c r="E355" s="35"/>
      <c r="F355" s="35"/>
    </row>
    <row r="356">
      <c r="B356" s="35"/>
      <c r="C356" s="35"/>
      <c r="D356" s="35"/>
      <c r="E356" s="35"/>
      <c r="F356" s="35"/>
    </row>
    <row r="357">
      <c r="B357" s="35"/>
      <c r="C357" s="35"/>
      <c r="D357" s="35"/>
      <c r="E357" s="35"/>
      <c r="F357" s="35"/>
    </row>
    <row r="358">
      <c r="B358" s="35"/>
      <c r="C358" s="35"/>
      <c r="D358" s="35"/>
      <c r="E358" s="35"/>
      <c r="F358" s="35"/>
    </row>
    <row r="359">
      <c r="B359" s="35"/>
      <c r="C359" s="35"/>
      <c r="D359" s="35"/>
      <c r="E359" s="35"/>
      <c r="F359" s="35"/>
    </row>
    <row r="360">
      <c r="B360" s="35"/>
      <c r="C360" s="35"/>
      <c r="D360" s="35"/>
      <c r="E360" s="35"/>
      <c r="F360" s="35"/>
    </row>
    <row r="361">
      <c r="B361" s="35"/>
      <c r="C361" s="35"/>
      <c r="D361" s="35"/>
      <c r="E361" s="35"/>
      <c r="F361" s="35"/>
    </row>
    <row r="362">
      <c r="B362" s="35"/>
      <c r="C362" s="35"/>
      <c r="D362" s="35"/>
      <c r="E362" s="35"/>
      <c r="F362" s="35"/>
    </row>
    <row r="363">
      <c r="B363" s="35"/>
      <c r="C363" s="35"/>
      <c r="D363" s="35"/>
      <c r="E363" s="35"/>
      <c r="F363" s="35"/>
    </row>
    <row r="364">
      <c r="B364" s="35"/>
      <c r="C364" s="35"/>
      <c r="D364" s="35"/>
      <c r="E364" s="35"/>
      <c r="F364" s="35"/>
    </row>
    <row r="365">
      <c r="B365" s="35"/>
      <c r="C365" s="35"/>
      <c r="D365" s="35"/>
      <c r="E365" s="35"/>
      <c r="F365" s="35"/>
    </row>
    <row r="366">
      <c r="B366" s="35"/>
      <c r="C366" s="35"/>
      <c r="D366" s="35"/>
      <c r="E366" s="35"/>
      <c r="F366" s="35"/>
    </row>
    <row r="367">
      <c r="B367" s="35"/>
      <c r="C367" s="35"/>
      <c r="D367" s="35"/>
      <c r="E367" s="35"/>
      <c r="F367" s="35"/>
    </row>
    <row r="368">
      <c r="B368" s="35"/>
      <c r="C368" s="35"/>
      <c r="D368" s="35"/>
      <c r="E368" s="35"/>
      <c r="F368" s="35"/>
    </row>
    <row r="369">
      <c r="B369" s="35"/>
      <c r="C369" s="35"/>
      <c r="D369" s="35"/>
      <c r="E369" s="35"/>
      <c r="F369" s="35"/>
    </row>
    <row r="370">
      <c r="B370" s="35"/>
      <c r="C370" s="35"/>
      <c r="D370" s="35"/>
      <c r="E370" s="35"/>
      <c r="F370" s="35"/>
    </row>
    <row r="371">
      <c r="B371" s="35"/>
      <c r="C371" s="35"/>
      <c r="D371" s="35"/>
      <c r="E371" s="35"/>
      <c r="F371" s="35"/>
    </row>
    <row r="372">
      <c r="B372" s="35"/>
      <c r="C372" s="35"/>
      <c r="D372" s="35"/>
      <c r="E372" s="35"/>
      <c r="F372" s="35"/>
    </row>
    <row r="373">
      <c r="B373" s="35"/>
      <c r="C373" s="35"/>
      <c r="D373" s="35"/>
      <c r="E373" s="35"/>
      <c r="F373" s="35"/>
    </row>
    <row r="374">
      <c r="B374" s="35"/>
      <c r="C374" s="35"/>
      <c r="D374" s="35"/>
      <c r="E374" s="35"/>
      <c r="F374" s="35"/>
    </row>
    <row r="375">
      <c r="B375" s="35"/>
      <c r="C375" s="35"/>
      <c r="D375" s="35"/>
      <c r="E375" s="35"/>
      <c r="F375" s="35"/>
    </row>
    <row r="376">
      <c r="B376" s="35"/>
      <c r="C376" s="35"/>
      <c r="D376" s="35"/>
      <c r="E376" s="35"/>
      <c r="F376" s="35"/>
    </row>
    <row r="377">
      <c r="B377" s="35"/>
      <c r="C377" s="35"/>
      <c r="D377" s="35"/>
      <c r="E377" s="35"/>
      <c r="F377" s="35"/>
    </row>
    <row r="378">
      <c r="B378" s="35"/>
      <c r="C378" s="35"/>
      <c r="D378" s="35"/>
      <c r="E378" s="35"/>
      <c r="F378" s="35"/>
    </row>
    <row r="379">
      <c r="B379" s="35"/>
      <c r="C379" s="35"/>
      <c r="D379" s="35"/>
      <c r="E379" s="35"/>
      <c r="F379" s="35"/>
    </row>
    <row r="380">
      <c r="B380" s="35"/>
      <c r="C380" s="35"/>
      <c r="D380" s="35"/>
      <c r="E380" s="35"/>
      <c r="F380" s="35"/>
    </row>
    <row r="381">
      <c r="B381" s="35"/>
      <c r="C381" s="35"/>
      <c r="D381" s="35"/>
      <c r="E381" s="35"/>
      <c r="F381" s="35"/>
    </row>
    <row r="382">
      <c r="B382" s="35"/>
      <c r="C382" s="35"/>
      <c r="D382" s="35"/>
      <c r="E382" s="35"/>
      <c r="F382" s="35"/>
    </row>
    <row r="383">
      <c r="B383" s="35"/>
      <c r="C383" s="35"/>
      <c r="D383" s="35"/>
      <c r="E383" s="35"/>
      <c r="F383" s="35"/>
    </row>
    <row r="384">
      <c r="B384" s="35"/>
      <c r="C384" s="35"/>
      <c r="D384" s="35"/>
      <c r="E384" s="35"/>
      <c r="F384" s="35"/>
    </row>
    <row r="385">
      <c r="B385" s="35"/>
      <c r="C385" s="35"/>
      <c r="D385" s="35"/>
      <c r="E385" s="35"/>
      <c r="F385" s="35"/>
    </row>
    <row r="386">
      <c r="B386" s="35"/>
      <c r="C386" s="35"/>
      <c r="D386" s="35"/>
      <c r="E386" s="35"/>
      <c r="F386" s="35"/>
    </row>
    <row r="387">
      <c r="B387" s="35"/>
      <c r="C387" s="35"/>
      <c r="D387" s="35"/>
      <c r="E387" s="35"/>
      <c r="F387" s="35"/>
    </row>
    <row r="388">
      <c r="B388" s="35"/>
      <c r="C388" s="35"/>
      <c r="D388" s="35"/>
      <c r="E388" s="35"/>
      <c r="F388" s="35"/>
    </row>
    <row r="389">
      <c r="B389" s="35"/>
      <c r="C389" s="35"/>
      <c r="D389" s="35"/>
      <c r="E389" s="35"/>
      <c r="F389" s="35"/>
    </row>
    <row r="390">
      <c r="B390" s="35"/>
      <c r="C390" s="35"/>
      <c r="D390" s="35"/>
      <c r="E390" s="35"/>
      <c r="F390" s="35"/>
    </row>
    <row r="391">
      <c r="B391" s="35"/>
      <c r="C391" s="35"/>
      <c r="D391" s="35"/>
      <c r="E391" s="35"/>
      <c r="F391" s="35"/>
    </row>
    <row r="392">
      <c r="B392" s="35"/>
      <c r="C392" s="35"/>
      <c r="D392" s="35"/>
      <c r="E392" s="35"/>
      <c r="F392" s="35"/>
    </row>
    <row r="393">
      <c r="B393" s="35"/>
      <c r="C393" s="35"/>
      <c r="D393" s="35"/>
      <c r="E393" s="35"/>
      <c r="F393" s="35"/>
    </row>
    <row r="394">
      <c r="B394" s="35"/>
      <c r="C394" s="35"/>
      <c r="D394" s="35"/>
      <c r="E394" s="35"/>
      <c r="F394" s="35"/>
    </row>
    <row r="395">
      <c r="B395" s="35"/>
      <c r="C395" s="35"/>
      <c r="D395" s="35"/>
      <c r="E395" s="35"/>
      <c r="F395" s="35"/>
    </row>
    <row r="396">
      <c r="B396" s="35"/>
      <c r="C396" s="35"/>
      <c r="D396" s="35"/>
      <c r="E396" s="35"/>
      <c r="F396" s="35"/>
    </row>
    <row r="397">
      <c r="B397" s="35"/>
      <c r="C397" s="35"/>
      <c r="D397" s="35"/>
      <c r="E397" s="35"/>
      <c r="F397" s="35"/>
    </row>
    <row r="398">
      <c r="B398" s="35"/>
      <c r="C398" s="35"/>
      <c r="D398" s="35"/>
      <c r="E398" s="35"/>
      <c r="F398" s="35"/>
    </row>
    <row r="399">
      <c r="B399" s="35"/>
      <c r="C399" s="35"/>
      <c r="D399" s="35"/>
      <c r="E399" s="35"/>
      <c r="F399" s="35"/>
    </row>
    <row r="400">
      <c r="B400" s="35"/>
      <c r="C400" s="35"/>
      <c r="D400" s="35"/>
      <c r="E400" s="35"/>
      <c r="F400" s="35"/>
    </row>
    <row r="401">
      <c r="B401" s="35"/>
      <c r="C401" s="35"/>
      <c r="D401" s="35"/>
      <c r="E401" s="35"/>
      <c r="F401" s="35"/>
    </row>
    <row r="402">
      <c r="B402" s="35"/>
      <c r="C402" s="35"/>
      <c r="D402" s="35"/>
      <c r="E402" s="35"/>
      <c r="F402" s="35"/>
    </row>
    <row r="403">
      <c r="B403" s="35"/>
      <c r="C403" s="35"/>
      <c r="D403" s="35"/>
      <c r="E403" s="35"/>
      <c r="F403" s="35"/>
    </row>
    <row r="404">
      <c r="B404" s="35"/>
      <c r="C404" s="35"/>
      <c r="D404" s="35"/>
      <c r="E404" s="35"/>
      <c r="F404" s="35"/>
    </row>
    <row r="405">
      <c r="B405" s="35"/>
      <c r="C405" s="35"/>
      <c r="D405" s="35"/>
      <c r="E405" s="35"/>
      <c r="F405" s="35"/>
    </row>
    <row r="406">
      <c r="B406" s="35"/>
      <c r="C406" s="35"/>
      <c r="D406" s="35"/>
      <c r="E406" s="35"/>
      <c r="F406" s="35"/>
    </row>
    <row r="407">
      <c r="B407" s="35"/>
      <c r="C407" s="35"/>
      <c r="D407" s="35"/>
      <c r="E407" s="35"/>
      <c r="F407" s="35"/>
    </row>
    <row r="408">
      <c r="B408" s="35"/>
      <c r="C408" s="35"/>
      <c r="D408" s="35"/>
      <c r="E408" s="35"/>
      <c r="F408" s="35"/>
    </row>
    <row r="409">
      <c r="B409" s="35"/>
      <c r="C409" s="35"/>
      <c r="D409" s="35"/>
      <c r="E409" s="35"/>
      <c r="F409" s="35"/>
    </row>
    <row r="410">
      <c r="B410" s="35"/>
      <c r="C410" s="35"/>
      <c r="D410" s="35"/>
      <c r="E410" s="35"/>
      <c r="F410" s="35"/>
    </row>
    <row r="411">
      <c r="B411" s="35"/>
      <c r="C411" s="35"/>
      <c r="D411" s="35"/>
      <c r="E411" s="35"/>
      <c r="F411" s="35"/>
    </row>
    <row r="412">
      <c r="B412" s="35"/>
      <c r="C412" s="35"/>
      <c r="D412" s="35"/>
      <c r="E412" s="35"/>
      <c r="F412" s="35"/>
    </row>
    <row r="413">
      <c r="B413" s="35"/>
      <c r="C413" s="35"/>
      <c r="D413" s="35"/>
      <c r="E413" s="35"/>
      <c r="F413" s="35"/>
    </row>
    <row r="414">
      <c r="B414" s="35"/>
      <c r="C414" s="35"/>
      <c r="D414" s="35"/>
      <c r="E414" s="35"/>
      <c r="F414" s="35"/>
    </row>
    <row r="415">
      <c r="B415" s="35"/>
      <c r="C415" s="35"/>
      <c r="D415" s="35"/>
      <c r="E415" s="35"/>
      <c r="F415" s="35"/>
    </row>
    <row r="416">
      <c r="B416" s="35"/>
      <c r="C416" s="35"/>
      <c r="D416" s="35"/>
      <c r="E416" s="35"/>
      <c r="F416" s="35"/>
    </row>
    <row r="417">
      <c r="B417" s="35"/>
      <c r="C417" s="35"/>
      <c r="D417" s="35"/>
      <c r="E417" s="35"/>
      <c r="F417" s="35"/>
    </row>
    <row r="418">
      <c r="B418" s="35"/>
      <c r="C418" s="35"/>
      <c r="D418" s="35"/>
      <c r="E418" s="35"/>
      <c r="F418" s="35"/>
    </row>
    <row r="419">
      <c r="B419" s="35"/>
      <c r="C419" s="35"/>
      <c r="D419" s="35"/>
      <c r="E419" s="35"/>
      <c r="F419" s="35"/>
    </row>
    <row r="420">
      <c r="B420" s="35"/>
      <c r="C420" s="35"/>
      <c r="D420" s="35"/>
      <c r="E420" s="35"/>
      <c r="F420" s="35"/>
    </row>
    <row r="421">
      <c r="B421" s="35"/>
      <c r="C421" s="35"/>
      <c r="D421" s="35"/>
      <c r="E421" s="35"/>
      <c r="F421" s="35"/>
    </row>
    <row r="422">
      <c r="B422" s="35"/>
      <c r="C422" s="35"/>
      <c r="D422" s="35"/>
      <c r="E422" s="35"/>
      <c r="F422" s="35"/>
    </row>
    <row r="423">
      <c r="B423" s="35"/>
      <c r="C423" s="35"/>
      <c r="D423" s="35"/>
      <c r="E423" s="35"/>
      <c r="F423" s="35"/>
    </row>
    <row r="424">
      <c r="B424" s="35"/>
      <c r="C424" s="35"/>
      <c r="D424" s="35"/>
      <c r="E424" s="35"/>
      <c r="F424" s="35"/>
    </row>
    <row r="425">
      <c r="B425" s="35"/>
      <c r="C425" s="35"/>
      <c r="D425" s="35"/>
      <c r="E425" s="35"/>
      <c r="F425" s="35"/>
    </row>
    <row r="426">
      <c r="B426" s="35"/>
      <c r="C426" s="35"/>
      <c r="D426" s="35"/>
      <c r="E426" s="35"/>
      <c r="F426" s="35"/>
    </row>
    <row r="427">
      <c r="B427" s="35"/>
      <c r="C427" s="35"/>
      <c r="D427" s="35"/>
      <c r="E427" s="35"/>
      <c r="F427" s="35"/>
    </row>
    <row r="428">
      <c r="B428" s="35"/>
      <c r="C428" s="35"/>
      <c r="D428" s="35"/>
      <c r="E428" s="35"/>
      <c r="F428" s="35"/>
    </row>
    <row r="429">
      <c r="B429" s="35"/>
      <c r="C429" s="35"/>
      <c r="D429" s="35"/>
      <c r="E429" s="35"/>
      <c r="F429" s="35"/>
    </row>
    <row r="430">
      <c r="B430" s="35"/>
      <c r="C430" s="35"/>
      <c r="D430" s="35"/>
      <c r="E430" s="35"/>
      <c r="F430" s="35"/>
    </row>
    <row r="431">
      <c r="B431" s="35"/>
      <c r="C431" s="35"/>
      <c r="D431" s="35"/>
      <c r="E431" s="35"/>
      <c r="F431" s="35"/>
    </row>
    <row r="432">
      <c r="B432" s="35"/>
      <c r="C432" s="35"/>
      <c r="D432" s="35"/>
      <c r="E432" s="35"/>
      <c r="F432" s="35"/>
    </row>
    <row r="433">
      <c r="B433" s="35"/>
      <c r="C433" s="35"/>
      <c r="D433" s="35"/>
      <c r="E433" s="35"/>
      <c r="F433" s="35"/>
    </row>
    <row r="434">
      <c r="B434" s="35"/>
      <c r="C434" s="35"/>
      <c r="D434" s="35"/>
      <c r="E434" s="35"/>
      <c r="F434" s="35"/>
    </row>
    <row r="435">
      <c r="B435" s="35"/>
      <c r="C435" s="35"/>
      <c r="D435" s="35"/>
      <c r="E435" s="35"/>
      <c r="F435" s="35"/>
    </row>
    <row r="436">
      <c r="B436" s="35"/>
      <c r="C436" s="35"/>
      <c r="D436" s="35"/>
      <c r="E436" s="35"/>
      <c r="F436" s="35"/>
    </row>
    <row r="437">
      <c r="B437" s="35"/>
      <c r="C437" s="35"/>
      <c r="D437" s="35"/>
      <c r="E437" s="35"/>
      <c r="F437" s="35"/>
    </row>
    <row r="438">
      <c r="B438" s="35"/>
      <c r="C438" s="35"/>
      <c r="D438" s="35"/>
      <c r="E438" s="35"/>
      <c r="F438" s="35"/>
    </row>
    <row r="439">
      <c r="B439" s="35"/>
      <c r="C439" s="35"/>
      <c r="D439" s="35"/>
      <c r="E439" s="35"/>
      <c r="F439" s="35"/>
    </row>
    <row r="440">
      <c r="B440" s="35"/>
      <c r="C440" s="35"/>
      <c r="D440" s="35"/>
      <c r="E440" s="35"/>
      <c r="F440" s="35"/>
    </row>
    <row r="441">
      <c r="B441" s="35"/>
      <c r="C441" s="35"/>
      <c r="D441" s="35"/>
      <c r="E441" s="35"/>
      <c r="F441" s="35"/>
    </row>
    <row r="442">
      <c r="B442" s="35"/>
      <c r="C442" s="35"/>
      <c r="D442" s="35"/>
      <c r="E442" s="35"/>
      <c r="F442" s="35"/>
    </row>
    <row r="443">
      <c r="B443" s="35"/>
      <c r="C443" s="35"/>
      <c r="D443" s="35"/>
      <c r="E443" s="35"/>
      <c r="F443" s="35"/>
    </row>
    <row r="444">
      <c r="B444" s="35"/>
      <c r="C444" s="35"/>
      <c r="D444" s="35"/>
      <c r="E444" s="35"/>
      <c r="F444" s="35"/>
    </row>
    <row r="445">
      <c r="B445" s="35"/>
      <c r="C445" s="35"/>
      <c r="D445" s="35"/>
      <c r="E445" s="35"/>
      <c r="F445" s="35"/>
    </row>
    <row r="446">
      <c r="B446" s="35"/>
      <c r="C446" s="35"/>
      <c r="D446" s="35"/>
      <c r="E446" s="35"/>
      <c r="F446" s="35"/>
    </row>
    <row r="447">
      <c r="B447" s="35"/>
      <c r="C447" s="35"/>
      <c r="D447" s="35"/>
      <c r="E447" s="35"/>
      <c r="F447" s="35"/>
    </row>
    <row r="448">
      <c r="B448" s="35"/>
      <c r="C448" s="35"/>
      <c r="D448" s="35"/>
      <c r="E448" s="35"/>
      <c r="F448" s="35"/>
    </row>
    <row r="449">
      <c r="B449" s="35"/>
      <c r="C449" s="35"/>
      <c r="D449" s="35"/>
      <c r="E449" s="35"/>
      <c r="F449" s="35"/>
    </row>
    <row r="450">
      <c r="B450" s="35"/>
      <c r="C450" s="35"/>
      <c r="D450" s="35"/>
      <c r="E450" s="35"/>
      <c r="F450" s="35"/>
    </row>
    <row r="451">
      <c r="B451" s="35"/>
      <c r="C451" s="35"/>
      <c r="D451" s="35"/>
      <c r="E451" s="35"/>
      <c r="F451" s="35"/>
    </row>
    <row r="452">
      <c r="B452" s="35"/>
      <c r="C452" s="35"/>
      <c r="D452" s="35"/>
      <c r="E452" s="35"/>
      <c r="F452" s="35"/>
    </row>
    <row r="453">
      <c r="B453" s="35"/>
      <c r="C453" s="35"/>
      <c r="D453" s="35"/>
      <c r="E453" s="35"/>
      <c r="F453" s="35"/>
    </row>
    <row r="454">
      <c r="B454" s="35"/>
      <c r="C454" s="35"/>
      <c r="D454" s="35"/>
      <c r="E454" s="35"/>
      <c r="F454" s="35"/>
    </row>
    <row r="455">
      <c r="B455" s="35"/>
      <c r="C455" s="35"/>
      <c r="D455" s="35"/>
      <c r="E455" s="35"/>
      <c r="F455" s="35"/>
    </row>
    <row r="456">
      <c r="B456" s="35"/>
      <c r="C456" s="35"/>
      <c r="D456" s="35"/>
      <c r="E456" s="35"/>
      <c r="F456" s="35"/>
    </row>
    <row r="457">
      <c r="B457" s="35"/>
      <c r="C457" s="35"/>
      <c r="D457" s="35"/>
      <c r="E457" s="35"/>
      <c r="F457" s="35"/>
    </row>
    <row r="458">
      <c r="B458" s="35"/>
      <c r="C458" s="35"/>
      <c r="D458" s="35"/>
      <c r="E458" s="35"/>
      <c r="F458" s="35"/>
    </row>
    <row r="459">
      <c r="B459" s="35"/>
      <c r="C459" s="35"/>
      <c r="D459" s="35"/>
      <c r="E459" s="35"/>
      <c r="F459" s="35"/>
    </row>
    <row r="460">
      <c r="B460" s="35"/>
      <c r="C460" s="35"/>
      <c r="D460" s="35"/>
      <c r="E460" s="35"/>
      <c r="F460" s="35"/>
    </row>
    <row r="461">
      <c r="B461" s="35"/>
      <c r="C461" s="35"/>
      <c r="D461" s="35"/>
      <c r="E461" s="35"/>
      <c r="F461" s="35"/>
    </row>
    <row r="462">
      <c r="B462" s="35"/>
      <c r="C462" s="35"/>
      <c r="D462" s="35"/>
      <c r="E462" s="35"/>
      <c r="F462" s="35"/>
    </row>
    <row r="463">
      <c r="B463" s="35"/>
      <c r="C463" s="35"/>
      <c r="D463" s="35"/>
      <c r="E463" s="35"/>
      <c r="F463" s="35"/>
    </row>
    <row r="464">
      <c r="B464" s="35"/>
      <c r="C464" s="35"/>
      <c r="D464" s="35"/>
      <c r="E464" s="35"/>
      <c r="F464" s="35"/>
    </row>
    <row r="465">
      <c r="B465" s="35"/>
      <c r="C465" s="35"/>
      <c r="D465" s="35"/>
      <c r="E465" s="35"/>
      <c r="F465" s="35"/>
    </row>
    <row r="466">
      <c r="B466" s="35"/>
      <c r="C466" s="35"/>
      <c r="D466" s="35"/>
      <c r="E466" s="35"/>
      <c r="F466" s="35"/>
    </row>
    <row r="467">
      <c r="B467" s="35"/>
      <c r="C467" s="35"/>
      <c r="D467" s="35"/>
      <c r="E467" s="35"/>
      <c r="F467" s="35"/>
    </row>
    <row r="468">
      <c r="B468" s="35"/>
      <c r="C468" s="35"/>
      <c r="D468" s="35"/>
      <c r="E468" s="35"/>
      <c r="F468" s="35"/>
    </row>
    <row r="469">
      <c r="B469" s="35"/>
      <c r="C469" s="35"/>
      <c r="D469" s="35"/>
      <c r="E469" s="35"/>
      <c r="F469" s="35"/>
    </row>
    <row r="470">
      <c r="B470" s="35"/>
      <c r="C470" s="35"/>
      <c r="D470" s="35"/>
      <c r="E470" s="35"/>
      <c r="F470" s="35"/>
    </row>
    <row r="471">
      <c r="B471" s="35"/>
      <c r="C471" s="35"/>
      <c r="D471" s="35"/>
      <c r="E471" s="35"/>
      <c r="F471" s="35"/>
    </row>
    <row r="472">
      <c r="B472" s="35"/>
      <c r="C472" s="35"/>
      <c r="D472" s="35"/>
      <c r="E472" s="35"/>
      <c r="F472" s="35"/>
    </row>
    <row r="473">
      <c r="B473" s="35"/>
      <c r="C473" s="35"/>
      <c r="D473" s="35"/>
      <c r="E473" s="35"/>
      <c r="F473" s="35"/>
    </row>
    <row r="474">
      <c r="B474" s="35"/>
      <c r="C474" s="35"/>
      <c r="D474" s="35"/>
      <c r="E474" s="35"/>
      <c r="F474" s="35"/>
    </row>
    <row r="475">
      <c r="B475" s="35"/>
      <c r="C475" s="35"/>
      <c r="D475" s="35"/>
      <c r="E475" s="35"/>
      <c r="F475" s="35"/>
    </row>
    <row r="476">
      <c r="B476" s="35"/>
      <c r="C476" s="35"/>
      <c r="D476" s="35"/>
      <c r="E476" s="35"/>
      <c r="F476" s="35"/>
    </row>
    <row r="477">
      <c r="B477" s="35"/>
      <c r="C477" s="35"/>
      <c r="D477" s="35"/>
      <c r="E477" s="35"/>
      <c r="F477" s="35"/>
    </row>
    <row r="478">
      <c r="B478" s="35"/>
      <c r="C478" s="35"/>
      <c r="D478" s="35"/>
      <c r="E478" s="35"/>
      <c r="F478" s="35"/>
    </row>
    <row r="479">
      <c r="B479" s="35"/>
      <c r="C479" s="35"/>
      <c r="D479" s="35"/>
      <c r="E479" s="35"/>
      <c r="F479" s="35"/>
    </row>
    <row r="480">
      <c r="B480" s="35"/>
      <c r="C480" s="35"/>
      <c r="D480" s="35"/>
      <c r="E480" s="35"/>
      <c r="F480" s="35"/>
    </row>
    <row r="481">
      <c r="B481" s="35"/>
      <c r="C481" s="35"/>
      <c r="D481" s="35"/>
      <c r="E481" s="35"/>
      <c r="F481" s="35"/>
    </row>
    <row r="482">
      <c r="B482" s="35"/>
      <c r="C482" s="35"/>
      <c r="D482" s="35"/>
      <c r="E482" s="35"/>
      <c r="F482" s="35"/>
    </row>
    <row r="483">
      <c r="B483" s="35"/>
      <c r="C483" s="35"/>
      <c r="D483" s="35"/>
      <c r="E483" s="35"/>
      <c r="F483" s="35"/>
    </row>
    <row r="484">
      <c r="B484" s="35"/>
      <c r="C484" s="35"/>
      <c r="D484" s="35"/>
      <c r="E484" s="35"/>
      <c r="F484" s="35"/>
    </row>
    <row r="485">
      <c r="B485" s="35"/>
      <c r="C485" s="35"/>
      <c r="D485" s="35"/>
      <c r="E485" s="35"/>
      <c r="F485" s="35"/>
    </row>
    <row r="486">
      <c r="B486" s="35"/>
      <c r="C486" s="35"/>
      <c r="D486" s="35"/>
      <c r="E486" s="35"/>
      <c r="F486" s="35"/>
    </row>
    <row r="487">
      <c r="B487" s="35"/>
      <c r="C487" s="35"/>
      <c r="D487" s="35"/>
      <c r="E487" s="35"/>
      <c r="F487" s="35"/>
    </row>
    <row r="488">
      <c r="B488" s="35"/>
      <c r="C488" s="35"/>
      <c r="D488" s="35"/>
      <c r="E488" s="35"/>
      <c r="F488" s="35"/>
    </row>
    <row r="489">
      <c r="B489" s="35"/>
      <c r="C489" s="35"/>
      <c r="D489" s="35"/>
      <c r="E489" s="35"/>
      <c r="F489" s="35"/>
    </row>
    <row r="490">
      <c r="B490" s="35"/>
      <c r="C490" s="35"/>
      <c r="D490" s="35"/>
      <c r="E490" s="35"/>
      <c r="F490" s="35"/>
    </row>
    <row r="491">
      <c r="B491" s="35"/>
      <c r="C491" s="35"/>
      <c r="D491" s="35"/>
      <c r="E491" s="35"/>
      <c r="F491" s="35"/>
    </row>
    <row r="492">
      <c r="B492" s="35"/>
      <c r="C492" s="35"/>
      <c r="D492" s="35"/>
      <c r="E492" s="35"/>
      <c r="F492" s="35"/>
    </row>
    <row r="493">
      <c r="B493" s="35"/>
      <c r="C493" s="35"/>
      <c r="D493" s="35"/>
      <c r="E493" s="35"/>
      <c r="F493" s="35"/>
    </row>
    <row r="494">
      <c r="B494" s="35"/>
      <c r="C494" s="35"/>
      <c r="D494" s="35"/>
      <c r="E494" s="35"/>
      <c r="F494" s="35"/>
    </row>
    <row r="495">
      <c r="B495" s="35"/>
      <c r="C495" s="35"/>
      <c r="D495" s="35"/>
      <c r="E495" s="35"/>
      <c r="F495" s="35"/>
    </row>
    <row r="496">
      <c r="B496" s="35"/>
      <c r="C496" s="35"/>
      <c r="D496" s="35"/>
      <c r="E496" s="35"/>
      <c r="F496" s="35"/>
    </row>
    <row r="497">
      <c r="B497" s="35"/>
      <c r="C497" s="35"/>
      <c r="D497" s="35"/>
      <c r="E497" s="35"/>
      <c r="F497" s="35"/>
    </row>
    <row r="498">
      <c r="B498" s="35"/>
      <c r="C498" s="35"/>
      <c r="D498" s="35"/>
      <c r="E498" s="35"/>
      <c r="F498" s="35"/>
    </row>
    <row r="499">
      <c r="B499" s="35"/>
      <c r="C499" s="35"/>
      <c r="D499" s="35"/>
      <c r="E499" s="35"/>
      <c r="F499" s="35"/>
    </row>
    <row r="500">
      <c r="B500" s="35"/>
      <c r="C500" s="35"/>
      <c r="D500" s="35"/>
      <c r="E500" s="35"/>
      <c r="F500" s="35"/>
    </row>
    <row r="501">
      <c r="B501" s="35"/>
      <c r="C501" s="35"/>
      <c r="D501" s="35"/>
      <c r="E501" s="35"/>
      <c r="F501" s="35"/>
    </row>
    <row r="502">
      <c r="B502" s="35"/>
      <c r="C502" s="35"/>
      <c r="D502" s="35"/>
      <c r="E502" s="35"/>
      <c r="F502" s="35"/>
    </row>
    <row r="503">
      <c r="B503" s="35"/>
      <c r="C503" s="35"/>
      <c r="D503" s="35"/>
      <c r="E503" s="35"/>
      <c r="F503" s="35"/>
    </row>
    <row r="504">
      <c r="B504" s="35"/>
      <c r="C504" s="35"/>
      <c r="D504" s="35"/>
      <c r="E504" s="35"/>
      <c r="F504" s="35"/>
    </row>
    <row r="505">
      <c r="B505" s="35"/>
      <c r="C505" s="35"/>
      <c r="D505" s="35"/>
      <c r="E505" s="35"/>
      <c r="F505" s="35"/>
    </row>
    <row r="506">
      <c r="B506" s="35"/>
      <c r="C506" s="35"/>
      <c r="D506" s="35"/>
      <c r="E506" s="35"/>
      <c r="F506" s="35"/>
    </row>
    <row r="507">
      <c r="B507" s="35"/>
      <c r="C507" s="35"/>
      <c r="D507" s="35"/>
      <c r="E507" s="35"/>
      <c r="F507" s="35"/>
    </row>
    <row r="508">
      <c r="B508" s="35"/>
      <c r="C508" s="35"/>
      <c r="D508" s="35"/>
      <c r="E508" s="35"/>
      <c r="F508" s="35"/>
    </row>
    <row r="509">
      <c r="B509" s="35"/>
      <c r="C509" s="35"/>
      <c r="D509" s="35"/>
      <c r="E509" s="35"/>
      <c r="F509" s="35"/>
    </row>
    <row r="510">
      <c r="B510" s="35"/>
      <c r="C510" s="35"/>
      <c r="D510" s="35"/>
      <c r="E510" s="35"/>
      <c r="F510" s="35"/>
    </row>
    <row r="511">
      <c r="B511" s="35"/>
      <c r="C511" s="35"/>
      <c r="D511" s="35"/>
      <c r="E511" s="35"/>
      <c r="F511" s="35"/>
    </row>
    <row r="512">
      <c r="B512" s="35"/>
      <c r="C512" s="35"/>
      <c r="D512" s="35"/>
      <c r="E512" s="35"/>
      <c r="F512" s="35"/>
    </row>
    <row r="513">
      <c r="B513" s="35"/>
      <c r="C513" s="35"/>
      <c r="D513" s="35"/>
      <c r="E513" s="35"/>
      <c r="F513" s="35"/>
    </row>
    <row r="514">
      <c r="B514" s="35"/>
      <c r="C514" s="35"/>
      <c r="D514" s="35"/>
      <c r="E514" s="35"/>
      <c r="F514" s="35"/>
    </row>
    <row r="515">
      <c r="B515" s="35"/>
      <c r="C515" s="35"/>
      <c r="D515" s="35"/>
      <c r="E515" s="35"/>
      <c r="F515" s="35"/>
    </row>
    <row r="516">
      <c r="B516" s="35"/>
      <c r="C516" s="35"/>
      <c r="D516" s="35"/>
      <c r="E516" s="35"/>
      <c r="F516" s="35"/>
    </row>
    <row r="517">
      <c r="B517" s="35"/>
      <c r="C517" s="35"/>
      <c r="D517" s="35"/>
      <c r="E517" s="35"/>
      <c r="F517" s="35"/>
    </row>
    <row r="518">
      <c r="B518" s="35"/>
      <c r="C518" s="35"/>
      <c r="D518" s="35"/>
      <c r="E518" s="35"/>
      <c r="F518" s="35"/>
    </row>
    <row r="519">
      <c r="B519" s="35"/>
      <c r="C519" s="35"/>
      <c r="D519" s="35"/>
      <c r="E519" s="35"/>
      <c r="F519" s="35"/>
    </row>
    <row r="520">
      <c r="B520" s="35"/>
      <c r="C520" s="35"/>
      <c r="D520" s="35"/>
      <c r="E520" s="35"/>
      <c r="F520" s="35"/>
    </row>
    <row r="521">
      <c r="B521" s="35"/>
      <c r="C521" s="35"/>
      <c r="D521" s="35"/>
      <c r="E521" s="35"/>
      <c r="F521" s="35"/>
    </row>
    <row r="522">
      <c r="B522" s="35"/>
      <c r="C522" s="35"/>
      <c r="D522" s="35"/>
      <c r="E522" s="35"/>
      <c r="F522" s="35"/>
    </row>
    <row r="523">
      <c r="B523" s="35"/>
      <c r="C523" s="35"/>
      <c r="D523" s="35"/>
      <c r="E523" s="35"/>
      <c r="F523" s="35"/>
    </row>
    <row r="524">
      <c r="B524" s="35"/>
      <c r="C524" s="35"/>
      <c r="D524" s="35"/>
      <c r="E524" s="35"/>
      <c r="F524" s="35"/>
    </row>
    <row r="525">
      <c r="B525" s="35"/>
      <c r="C525" s="35"/>
      <c r="D525" s="35"/>
      <c r="E525" s="35"/>
      <c r="F525" s="35"/>
    </row>
    <row r="526">
      <c r="B526" s="35"/>
      <c r="C526" s="35"/>
      <c r="D526" s="35"/>
      <c r="E526" s="35"/>
      <c r="F526" s="35"/>
    </row>
    <row r="527">
      <c r="B527" s="35"/>
      <c r="C527" s="35"/>
      <c r="D527" s="35"/>
      <c r="E527" s="35"/>
      <c r="F527" s="35"/>
    </row>
    <row r="528">
      <c r="B528" s="35"/>
      <c r="C528" s="35"/>
      <c r="D528" s="35"/>
      <c r="E528" s="35"/>
      <c r="F528" s="35"/>
    </row>
    <row r="529">
      <c r="B529" s="35"/>
      <c r="C529" s="35"/>
      <c r="D529" s="35"/>
      <c r="E529" s="35"/>
      <c r="F529" s="35"/>
    </row>
    <row r="530">
      <c r="B530" s="35"/>
      <c r="C530" s="35"/>
      <c r="D530" s="35"/>
      <c r="E530" s="35"/>
      <c r="F530" s="35"/>
    </row>
    <row r="531">
      <c r="B531" s="35"/>
      <c r="C531" s="35"/>
      <c r="D531" s="35"/>
      <c r="E531" s="35"/>
      <c r="F531" s="35"/>
    </row>
    <row r="532">
      <c r="B532" s="35"/>
      <c r="C532" s="35"/>
      <c r="D532" s="35"/>
      <c r="E532" s="35"/>
      <c r="F532" s="35"/>
    </row>
    <row r="533">
      <c r="B533" s="35"/>
      <c r="C533" s="35"/>
      <c r="D533" s="35"/>
      <c r="E533" s="35"/>
      <c r="F533" s="35"/>
    </row>
    <row r="534">
      <c r="B534" s="35"/>
      <c r="C534" s="35"/>
      <c r="D534" s="35"/>
      <c r="E534" s="35"/>
      <c r="F534" s="35"/>
    </row>
    <row r="535">
      <c r="B535" s="35"/>
      <c r="C535" s="35"/>
      <c r="D535" s="35"/>
      <c r="E535" s="35"/>
      <c r="F535" s="35"/>
    </row>
    <row r="536">
      <c r="B536" s="35"/>
      <c r="C536" s="35"/>
      <c r="D536" s="35"/>
      <c r="E536" s="35"/>
      <c r="F536" s="35"/>
    </row>
    <row r="537">
      <c r="B537" s="35"/>
      <c r="C537" s="35"/>
      <c r="D537" s="35"/>
      <c r="E537" s="35"/>
      <c r="F537" s="35"/>
    </row>
    <row r="538">
      <c r="B538" s="35"/>
      <c r="C538" s="35"/>
      <c r="D538" s="35"/>
      <c r="E538" s="35"/>
      <c r="F538" s="35"/>
    </row>
    <row r="539">
      <c r="B539" s="35"/>
      <c r="C539" s="35"/>
      <c r="D539" s="35"/>
      <c r="E539" s="35"/>
      <c r="F539" s="35"/>
    </row>
    <row r="540">
      <c r="B540" s="35"/>
      <c r="C540" s="35"/>
      <c r="D540" s="35"/>
      <c r="E540" s="35"/>
      <c r="F540" s="35"/>
    </row>
    <row r="541">
      <c r="B541" s="35"/>
      <c r="C541" s="35"/>
      <c r="D541" s="35"/>
      <c r="E541" s="35"/>
      <c r="F541" s="35"/>
    </row>
    <row r="542">
      <c r="B542" s="35"/>
      <c r="C542" s="35"/>
      <c r="D542" s="35"/>
      <c r="E542" s="35"/>
      <c r="F542" s="35"/>
    </row>
    <row r="543">
      <c r="B543" s="35"/>
      <c r="C543" s="35"/>
      <c r="D543" s="35"/>
      <c r="E543" s="35"/>
      <c r="F543" s="35"/>
    </row>
    <row r="544">
      <c r="B544" s="35"/>
      <c r="C544" s="35"/>
      <c r="D544" s="35"/>
      <c r="E544" s="35"/>
      <c r="F544" s="35"/>
    </row>
    <row r="545">
      <c r="B545" s="35"/>
      <c r="C545" s="35"/>
      <c r="D545" s="35"/>
      <c r="E545" s="35"/>
      <c r="F545" s="35"/>
    </row>
    <row r="546">
      <c r="B546" s="35"/>
      <c r="C546" s="35"/>
      <c r="D546" s="35"/>
      <c r="E546" s="35"/>
      <c r="F546" s="35"/>
    </row>
    <row r="547">
      <c r="B547" s="35"/>
      <c r="C547" s="35"/>
      <c r="D547" s="35"/>
      <c r="E547" s="35"/>
      <c r="F547" s="35"/>
    </row>
    <row r="548">
      <c r="B548" s="35"/>
      <c r="C548" s="35"/>
      <c r="D548" s="35"/>
      <c r="E548" s="35"/>
      <c r="F548" s="35"/>
    </row>
    <row r="549">
      <c r="B549" s="35"/>
      <c r="C549" s="35"/>
      <c r="D549" s="35"/>
      <c r="E549" s="35"/>
      <c r="F549" s="35"/>
    </row>
    <row r="550">
      <c r="B550" s="35"/>
      <c r="C550" s="35"/>
      <c r="D550" s="35"/>
      <c r="E550" s="35"/>
      <c r="F550" s="35"/>
    </row>
    <row r="551">
      <c r="B551" s="35"/>
      <c r="C551" s="35"/>
      <c r="D551" s="35"/>
      <c r="E551" s="35"/>
      <c r="F551" s="35"/>
    </row>
    <row r="552">
      <c r="B552" s="35"/>
      <c r="C552" s="35"/>
      <c r="D552" s="35"/>
      <c r="E552" s="35"/>
      <c r="F552" s="35"/>
    </row>
    <row r="553">
      <c r="B553" s="35"/>
      <c r="C553" s="35"/>
      <c r="D553" s="35"/>
      <c r="E553" s="35"/>
      <c r="F553" s="35"/>
    </row>
    <row r="554">
      <c r="B554" s="35"/>
      <c r="C554" s="35"/>
      <c r="D554" s="35"/>
      <c r="E554" s="35"/>
      <c r="F554" s="35"/>
    </row>
    <row r="555">
      <c r="B555" s="35"/>
      <c r="C555" s="35"/>
      <c r="D555" s="35"/>
      <c r="E555" s="35"/>
      <c r="F555" s="35"/>
    </row>
    <row r="556">
      <c r="B556" s="35"/>
      <c r="C556" s="35"/>
      <c r="D556" s="35"/>
      <c r="E556" s="35"/>
      <c r="F556" s="35"/>
    </row>
    <row r="557">
      <c r="B557" s="35"/>
      <c r="C557" s="35"/>
      <c r="D557" s="35"/>
      <c r="E557" s="35"/>
      <c r="F557" s="35"/>
    </row>
    <row r="558">
      <c r="B558" s="35"/>
      <c r="C558" s="35"/>
      <c r="D558" s="35"/>
      <c r="E558" s="35"/>
      <c r="F558" s="35"/>
    </row>
    <row r="559">
      <c r="B559" s="35"/>
      <c r="C559" s="35"/>
      <c r="D559" s="35"/>
      <c r="E559" s="35"/>
      <c r="F559" s="35"/>
    </row>
    <row r="560">
      <c r="B560" s="35"/>
      <c r="C560" s="35"/>
      <c r="D560" s="35"/>
      <c r="E560" s="35"/>
      <c r="F560" s="35"/>
    </row>
    <row r="561">
      <c r="B561" s="35"/>
      <c r="C561" s="35"/>
      <c r="D561" s="35"/>
      <c r="E561" s="35"/>
      <c r="F561" s="35"/>
    </row>
    <row r="562">
      <c r="B562" s="35"/>
      <c r="C562" s="35"/>
      <c r="D562" s="35"/>
      <c r="E562" s="35"/>
      <c r="F562" s="35"/>
    </row>
    <row r="563">
      <c r="B563" s="35"/>
      <c r="C563" s="35"/>
      <c r="D563" s="35"/>
      <c r="E563" s="35"/>
      <c r="F563" s="35"/>
    </row>
    <row r="564">
      <c r="B564" s="35"/>
      <c r="C564" s="35"/>
      <c r="D564" s="35"/>
      <c r="E564" s="35"/>
      <c r="F564" s="35"/>
    </row>
    <row r="565">
      <c r="B565" s="35"/>
      <c r="C565" s="35"/>
      <c r="D565" s="35"/>
      <c r="E565" s="35"/>
      <c r="F565" s="35"/>
    </row>
    <row r="566">
      <c r="B566" s="35"/>
      <c r="C566" s="35"/>
      <c r="D566" s="35"/>
      <c r="E566" s="35"/>
      <c r="F566" s="35"/>
    </row>
    <row r="567">
      <c r="B567" s="35"/>
      <c r="C567" s="35"/>
      <c r="D567" s="35"/>
      <c r="E567" s="35"/>
      <c r="F567" s="35"/>
    </row>
    <row r="568">
      <c r="B568" s="35"/>
      <c r="C568" s="35"/>
      <c r="D568" s="35"/>
      <c r="E568" s="35"/>
      <c r="F568" s="35"/>
    </row>
    <row r="569">
      <c r="B569" s="35"/>
      <c r="C569" s="35"/>
      <c r="D569" s="35"/>
      <c r="E569" s="35"/>
      <c r="F569" s="35"/>
    </row>
    <row r="570">
      <c r="B570" s="35"/>
      <c r="C570" s="35"/>
      <c r="D570" s="35"/>
      <c r="E570" s="35"/>
      <c r="F570" s="35"/>
    </row>
    <row r="571">
      <c r="B571" s="35"/>
      <c r="C571" s="35"/>
      <c r="D571" s="35"/>
      <c r="E571" s="35"/>
      <c r="F571" s="35"/>
    </row>
    <row r="572">
      <c r="B572" s="35"/>
      <c r="C572" s="35"/>
      <c r="D572" s="35"/>
      <c r="E572" s="35"/>
      <c r="F572" s="35"/>
    </row>
    <row r="573">
      <c r="B573" s="35"/>
      <c r="C573" s="35"/>
      <c r="D573" s="35"/>
      <c r="E573" s="35"/>
      <c r="F573" s="35"/>
    </row>
    <row r="574">
      <c r="B574" s="35"/>
      <c r="C574" s="35"/>
      <c r="D574" s="35"/>
      <c r="E574" s="35"/>
      <c r="F574" s="35"/>
    </row>
    <row r="575">
      <c r="B575" s="35"/>
      <c r="C575" s="35"/>
      <c r="D575" s="35"/>
      <c r="E575" s="35"/>
      <c r="F575" s="35"/>
    </row>
    <row r="576">
      <c r="B576" s="35"/>
      <c r="C576" s="35"/>
      <c r="D576" s="35"/>
      <c r="E576" s="35"/>
      <c r="F576" s="35"/>
    </row>
    <row r="577">
      <c r="B577" s="35"/>
      <c r="C577" s="35"/>
      <c r="D577" s="35"/>
      <c r="E577" s="35"/>
      <c r="F577" s="35"/>
    </row>
    <row r="578">
      <c r="B578" s="35"/>
      <c r="C578" s="35"/>
      <c r="D578" s="35"/>
      <c r="E578" s="35"/>
      <c r="F578" s="35"/>
    </row>
    <row r="579">
      <c r="B579" s="35"/>
      <c r="C579" s="35"/>
      <c r="D579" s="35"/>
      <c r="E579" s="35"/>
      <c r="F579" s="35"/>
    </row>
    <row r="580">
      <c r="B580" s="35"/>
      <c r="C580" s="35"/>
      <c r="D580" s="35"/>
      <c r="E580" s="35"/>
      <c r="F580" s="35"/>
    </row>
    <row r="581">
      <c r="B581" s="35"/>
      <c r="C581" s="35"/>
      <c r="D581" s="35"/>
      <c r="E581" s="35"/>
      <c r="F581" s="35"/>
    </row>
    <row r="582">
      <c r="B582" s="35"/>
      <c r="C582" s="35"/>
      <c r="D582" s="35"/>
      <c r="E582" s="35"/>
      <c r="F582" s="35"/>
    </row>
    <row r="583">
      <c r="B583" s="35"/>
      <c r="C583" s="35"/>
      <c r="D583" s="35"/>
      <c r="E583" s="35"/>
      <c r="F583" s="35"/>
    </row>
    <row r="584">
      <c r="B584" s="35"/>
      <c r="C584" s="35"/>
      <c r="D584" s="35"/>
      <c r="E584" s="35"/>
      <c r="F584" s="35"/>
    </row>
    <row r="585">
      <c r="B585" s="35"/>
      <c r="C585" s="35"/>
      <c r="D585" s="35"/>
      <c r="E585" s="35"/>
      <c r="F585" s="35"/>
    </row>
    <row r="586">
      <c r="B586" s="35"/>
      <c r="C586" s="35"/>
      <c r="D586" s="35"/>
      <c r="E586" s="35"/>
      <c r="F586" s="35"/>
    </row>
    <row r="587">
      <c r="B587" s="35"/>
      <c r="C587" s="35"/>
      <c r="D587" s="35"/>
      <c r="E587" s="35"/>
      <c r="F587" s="35"/>
    </row>
    <row r="588">
      <c r="B588" s="35"/>
      <c r="C588" s="35"/>
      <c r="D588" s="35"/>
      <c r="E588" s="35"/>
      <c r="F588" s="35"/>
    </row>
    <row r="589">
      <c r="B589" s="35"/>
      <c r="C589" s="35"/>
      <c r="D589" s="35"/>
      <c r="E589" s="35"/>
      <c r="F589" s="35"/>
    </row>
    <row r="590">
      <c r="B590" s="35"/>
      <c r="C590" s="35"/>
      <c r="D590" s="35"/>
      <c r="E590" s="35"/>
      <c r="F590" s="35"/>
    </row>
    <row r="591">
      <c r="B591" s="35"/>
      <c r="C591" s="35"/>
      <c r="D591" s="35"/>
      <c r="E591" s="35"/>
      <c r="F591" s="35"/>
    </row>
    <row r="592">
      <c r="B592" s="35"/>
      <c r="C592" s="35"/>
      <c r="D592" s="35"/>
      <c r="E592" s="35"/>
      <c r="F592" s="35"/>
    </row>
    <row r="593">
      <c r="B593" s="35"/>
      <c r="C593" s="35"/>
      <c r="D593" s="35"/>
      <c r="E593" s="35"/>
      <c r="F593" s="35"/>
    </row>
    <row r="594">
      <c r="B594" s="35"/>
      <c r="C594" s="35"/>
      <c r="D594" s="35"/>
      <c r="E594" s="35"/>
      <c r="F594" s="35"/>
    </row>
    <row r="595">
      <c r="B595" s="35"/>
      <c r="C595" s="35"/>
      <c r="D595" s="35"/>
      <c r="E595" s="35"/>
      <c r="F595" s="35"/>
    </row>
    <row r="596">
      <c r="B596" s="35"/>
      <c r="C596" s="35"/>
      <c r="D596" s="35"/>
      <c r="E596" s="35"/>
      <c r="F596" s="35"/>
    </row>
    <row r="597">
      <c r="B597" s="35"/>
      <c r="C597" s="35"/>
      <c r="D597" s="35"/>
      <c r="E597" s="35"/>
      <c r="F597" s="35"/>
    </row>
    <row r="598">
      <c r="B598" s="35"/>
      <c r="C598" s="35"/>
      <c r="D598" s="35"/>
      <c r="E598" s="35"/>
      <c r="F598" s="35"/>
    </row>
    <row r="599">
      <c r="B599" s="35"/>
      <c r="C599" s="35"/>
      <c r="D599" s="35"/>
      <c r="E599" s="35"/>
      <c r="F599" s="35"/>
    </row>
    <row r="600">
      <c r="B600" s="35"/>
      <c r="C600" s="35"/>
      <c r="D600" s="35"/>
      <c r="E600" s="35"/>
      <c r="F600" s="35"/>
    </row>
    <row r="601">
      <c r="B601" s="35"/>
      <c r="C601" s="35"/>
      <c r="D601" s="35"/>
      <c r="E601" s="35"/>
      <c r="F601" s="35"/>
    </row>
    <row r="602">
      <c r="B602" s="35"/>
      <c r="C602" s="35"/>
      <c r="D602" s="35"/>
      <c r="E602" s="35"/>
      <c r="F602" s="35"/>
    </row>
    <row r="603">
      <c r="B603" s="35"/>
      <c r="C603" s="35"/>
      <c r="D603" s="35"/>
      <c r="E603" s="35"/>
      <c r="F603" s="35"/>
    </row>
    <row r="604">
      <c r="B604" s="35"/>
      <c r="C604" s="35"/>
      <c r="D604" s="35"/>
      <c r="E604" s="35"/>
      <c r="F604" s="35"/>
    </row>
    <row r="605">
      <c r="B605" s="35"/>
      <c r="C605" s="35"/>
      <c r="D605" s="35"/>
      <c r="E605" s="35"/>
      <c r="F605" s="35"/>
    </row>
    <row r="606">
      <c r="B606" s="35"/>
      <c r="C606" s="35"/>
      <c r="D606" s="35"/>
      <c r="E606" s="35"/>
      <c r="F606" s="35"/>
    </row>
    <row r="607">
      <c r="B607" s="35"/>
      <c r="C607" s="35"/>
      <c r="D607" s="35"/>
      <c r="E607" s="35"/>
      <c r="F607" s="35"/>
    </row>
    <row r="608">
      <c r="B608" s="35"/>
      <c r="C608" s="35"/>
      <c r="D608" s="35"/>
      <c r="E608" s="35"/>
      <c r="F608" s="35"/>
    </row>
    <row r="609">
      <c r="B609" s="35"/>
      <c r="C609" s="35"/>
      <c r="D609" s="35"/>
      <c r="E609" s="35"/>
      <c r="F609" s="35"/>
    </row>
    <row r="610">
      <c r="B610" s="35"/>
      <c r="C610" s="35"/>
      <c r="D610" s="35"/>
      <c r="E610" s="35"/>
      <c r="F610" s="35"/>
    </row>
    <row r="611">
      <c r="B611" s="35"/>
      <c r="C611" s="35"/>
      <c r="D611" s="35"/>
      <c r="E611" s="35"/>
      <c r="F611" s="35"/>
    </row>
    <row r="612">
      <c r="B612" s="35"/>
      <c r="C612" s="35"/>
      <c r="D612" s="35"/>
      <c r="E612" s="35"/>
      <c r="F612" s="35"/>
    </row>
    <row r="613">
      <c r="B613" s="35"/>
      <c r="C613" s="35"/>
      <c r="D613" s="35"/>
      <c r="E613" s="35"/>
      <c r="F613" s="35"/>
    </row>
    <row r="614">
      <c r="B614" s="35"/>
      <c r="C614" s="35"/>
      <c r="D614" s="35"/>
      <c r="E614" s="35"/>
      <c r="F614" s="35"/>
    </row>
    <row r="615">
      <c r="B615" s="35"/>
      <c r="C615" s="35"/>
      <c r="D615" s="35"/>
      <c r="E615" s="35"/>
      <c r="F615" s="35"/>
    </row>
    <row r="616">
      <c r="B616" s="35"/>
      <c r="C616" s="35"/>
      <c r="D616" s="35"/>
      <c r="E616" s="35"/>
      <c r="F616" s="35"/>
    </row>
    <row r="617">
      <c r="B617" s="35"/>
      <c r="C617" s="35"/>
      <c r="D617" s="35"/>
      <c r="E617" s="35"/>
      <c r="F617" s="35"/>
    </row>
    <row r="618">
      <c r="B618" s="35"/>
      <c r="C618" s="35"/>
      <c r="D618" s="35"/>
      <c r="E618" s="35"/>
      <c r="F618" s="35"/>
    </row>
    <row r="619">
      <c r="B619" s="35"/>
      <c r="C619" s="35"/>
      <c r="D619" s="35"/>
      <c r="E619" s="35"/>
      <c r="F619" s="35"/>
    </row>
    <row r="620">
      <c r="B620" s="35"/>
      <c r="C620" s="35"/>
      <c r="D620" s="35"/>
      <c r="E620" s="35"/>
      <c r="F620" s="35"/>
    </row>
    <row r="621">
      <c r="B621" s="35"/>
      <c r="C621" s="35"/>
      <c r="D621" s="35"/>
      <c r="E621" s="35"/>
      <c r="F621" s="35"/>
    </row>
    <row r="622">
      <c r="B622" s="35"/>
      <c r="C622" s="35"/>
      <c r="D622" s="35"/>
      <c r="E622" s="35"/>
      <c r="F622" s="35"/>
    </row>
    <row r="623">
      <c r="B623" s="35"/>
      <c r="C623" s="35"/>
      <c r="D623" s="35"/>
      <c r="E623" s="35"/>
      <c r="F623" s="35"/>
    </row>
    <row r="624">
      <c r="B624" s="35"/>
      <c r="C624" s="35"/>
      <c r="D624" s="35"/>
      <c r="E624" s="35"/>
      <c r="F624" s="35"/>
    </row>
    <row r="625">
      <c r="B625" s="35"/>
      <c r="C625" s="35"/>
      <c r="D625" s="35"/>
      <c r="E625" s="35"/>
      <c r="F625" s="35"/>
    </row>
    <row r="626">
      <c r="B626" s="35"/>
      <c r="C626" s="35"/>
      <c r="D626" s="35"/>
      <c r="E626" s="35"/>
      <c r="F626" s="35"/>
    </row>
    <row r="627">
      <c r="B627" s="35"/>
      <c r="C627" s="35"/>
      <c r="D627" s="35"/>
      <c r="E627" s="35"/>
      <c r="F627" s="35"/>
    </row>
    <row r="628">
      <c r="B628" s="35"/>
      <c r="C628" s="35"/>
      <c r="D628" s="35"/>
      <c r="E628" s="35"/>
      <c r="F628" s="35"/>
    </row>
    <row r="629">
      <c r="B629" s="35"/>
      <c r="C629" s="35"/>
      <c r="D629" s="35"/>
      <c r="E629" s="35"/>
      <c r="F629" s="35"/>
    </row>
    <row r="630">
      <c r="B630" s="35"/>
      <c r="C630" s="35"/>
      <c r="D630" s="35"/>
      <c r="E630" s="35"/>
      <c r="F630" s="35"/>
    </row>
    <row r="631">
      <c r="B631" s="35"/>
      <c r="C631" s="35"/>
      <c r="D631" s="35"/>
      <c r="E631" s="35"/>
      <c r="F631" s="35"/>
    </row>
    <row r="632">
      <c r="B632" s="35"/>
      <c r="C632" s="35"/>
      <c r="D632" s="35"/>
      <c r="E632" s="35"/>
      <c r="F632" s="35"/>
    </row>
    <row r="633">
      <c r="B633" s="35"/>
      <c r="C633" s="35"/>
      <c r="D633" s="35"/>
      <c r="E633" s="35"/>
      <c r="F633" s="35"/>
    </row>
    <row r="634">
      <c r="B634" s="35"/>
      <c r="C634" s="35"/>
      <c r="D634" s="35"/>
      <c r="E634" s="35"/>
      <c r="F634" s="35"/>
    </row>
    <row r="635">
      <c r="B635" s="35"/>
      <c r="C635" s="35"/>
      <c r="D635" s="35"/>
      <c r="E635" s="35"/>
      <c r="F635" s="35"/>
    </row>
    <row r="636">
      <c r="B636" s="35"/>
      <c r="C636" s="35"/>
      <c r="D636" s="35"/>
      <c r="E636" s="35"/>
      <c r="F636" s="35"/>
    </row>
    <row r="637">
      <c r="B637" s="35"/>
      <c r="C637" s="35"/>
      <c r="D637" s="35"/>
      <c r="E637" s="35"/>
      <c r="F637" s="35"/>
    </row>
    <row r="638">
      <c r="B638" s="35"/>
      <c r="C638" s="35"/>
      <c r="D638" s="35"/>
      <c r="E638" s="35"/>
      <c r="F638" s="35"/>
    </row>
    <row r="639">
      <c r="B639" s="35"/>
      <c r="C639" s="35"/>
      <c r="D639" s="35"/>
      <c r="E639" s="35"/>
      <c r="F639" s="35"/>
    </row>
    <row r="640">
      <c r="B640" s="35"/>
      <c r="C640" s="35"/>
      <c r="D640" s="35"/>
      <c r="E640" s="35"/>
      <c r="F640" s="35"/>
    </row>
    <row r="641">
      <c r="B641" s="35"/>
      <c r="C641" s="35"/>
      <c r="D641" s="35"/>
      <c r="E641" s="35"/>
      <c r="F641" s="35"/>
    </row>
    <row r="642">
      <c r="B642" s="35"/>
      <c r="C642" s="35"/>
      <c r="D642" s="35"/>
      <c r="E642" s="35"/>
      <c r="F642" s="35"/>
    </row>
    <row r="643">
      <c r="B643" s="35"/>
      <c r="C643" s="35"/>
      <c r="D643" s="35"/>
      <c r="E643" s="35"/>
      <c r="F643" s="35"/>
    </row>
    <row r="644">
      <c r="B644" s="35"/>
      <c r="C644" s="35"/>
      <c r="D644" s="35"/>
      <c r="E644" s="35"/>
      <c r="F644" s="35"/>
    </row>
    <row r="645">
      <c r="B645" s="35"/>
      <c r="C645" s="35"/>
      <c r="D645" s="35"/>
      <c r="E645" s="35"/>
      <c r="F645" s="35"/>
    </row>
    <row r="646">
      <c r="B646" s="35"/>
      <c r="C646" s="35"/>
      <c r="D646" s="35"/>
      <c r="E646" s="35"/>
      <c r="F646" s="35"/>
    </row>
    <row r="647">
      <c r="B647" s="35"/>
      <c r="C647" s="35"/>
      <c r="D647" s="35"/>
      <c r="E647" s="35"/>
      <c r="F647" s="35"/>
    </row>
    <row r="648">
      <c r="B648" s="35"/>
      <c r="C648" s="35"/>
      <c r="D648" s="35"/>
      <c r="E648" s="35"/>
      <c r="F648" s="35"/>
    </row>
    <row r="649">
      <c r="B649" s="35"/>
      <c r="C649" s="35"/>
      <c r="D649" s="35"/>
      <c r="E649" s="35"/>
      <c r="F649" s="35"/>
    </row>
    <row r="650">
      <c r="B650" s="35"/>
      <c r="C650" s="35"/>
      <c r="D650" s="35"/>
      <c r="E650" s="35"/>
      <c r="F650" s="35"/>
    </row>
    <row r="651">
      <c r="B651" s="35"/>
      <c r="C651" s="35"/>
      <c r="D651" s="35"/>
      <c r="E651" s="35"/>
      <c r="F651" s="35"/>
    </row>
    <row r="652">
      <c r="B652" s="35"/>
      <c r="C652" s="35"/>
      <c r="D652" s="35"/>
      <c r="E652" s="35"/>
      <c r="F652" s="35"/>
    </row>
    <row r="653">
      <c r="B653" s="35"/>
      <c r="C653" s="35"/>
      <c r="D653" s="35"/>
      <c r="E653" s="35"/>
      <c r="F653" s="35"/>
    </row>
    <row r="654">
      <c r="B654" s="35"/>
      <c r="C654" s="35"/>
      <c r="D654" s="35"/>
      <c r="E654" s="35"/>
      <c r="F654" s="35"/>
    </row>
    <row r="655">
      <c r="B655" s="35"/>
      <c r="C655" s="35"/>
      <c r="D655" s="35"/>
      <c r="E655" s="35"/>
      <c r="F655" s="35"/>
    </row>
    <row r="656">
      <c r="B656" s="35"/>
      <c r="C656" s="35"/>
      <c r="D656" s="35"/>
      <c r="E656" s="35"/>
      <c r="F656" s="35"/>
    </row>
    <row r="657">
      <c r="B657" s="35"/>
      <c r="C657" s="35"/>
      <c r="D657" s="35"/>
      <c r="E657" s="35"/>
      <c r="F657" s="35"/>
    </row>
    <row r="658">
      <c r="B658" s="35"/>
      <c r="C658" s="35"/>
      <c r="D658" s="35"/>
      <c r="E658" s="35"/>
      <c r="F658" s="35"/>
    </row>
    <row r="659">
      <c r="B659" s="35"/>
      <c r="C659" s="35"/>
      <c r="D659" s="35"/>
      <c r="E659" s="35"/>
      <c r="F659" s="35"/>
    </row>
    <row r="660">
      <c r="B660" s="35"/>
      <c r="C660" s="35"/>
      <c r="D660" s="35"/>
      <c r="E660" s="35"/>
      <c r="F660" s="35"/>
    </row>
    <row r="661">
      <c r="B661" s="35"/>
      <c r="C661" s="35"/>
      <c r="D661" s="35"/>
      <c r="E661" s="35"/>
      <c r="F661" s="35"/>
    </row>
    <row r="662">
      <c r="B662" s="35"/>
      <c r="C662" s="35"/>
      <c r="D662" s="35"/>
      <c r="E662" s="35"/>
      <c r="F662" s="35"/>
    </row>
    <row r="663">
      <c r="B663" s="35"/>
      <c r="C663" s="35"/>
      <c r="D663" s="35"/>
      <c r="E663" s="35"/>
      <c r="F663" s="35"/>
    </row>
    <row r="664">
      <c r="B664" s="35"/>
      <c r="C664" s="35"/>
      <c r="D664" s="35"/>
      <c r="E664" s="35"/>
      <c r="F664" s="35"/>
    </row>
    <row r="665">
      <c r="B665" s="35"/>
      <c r="C665" s="35"/>
      <c r="D665" s="35"/>
      <c r="E665" s="35"/>
      <c r="F665" s="35"/>
    </row>
    <row r="666">
      <c r="B666" s="35"/>
      <c r="C666" s="35"/>
      <c r="D666" s="35"/>
      <c r="E666" s="35"/>
      <c r="F666" s="35"/>
    </row>
    <row r="667">
      <c r="B667" s="35"/>
      <c r="C667" s="35"/>
      <c r="D667" s="35"/>
      <c r="E667" s="35"/>
      <c r="F667" s="35"/>
    </row>
    <row r="668">
      <c r="B668" s="35"/>
      <c r="C668" s="35"/>
      <c r="D668" s="35"/>
      <c r="E668" s="35"/>
      <c r="F668" s="35"/>
    </row>
    <row r="669">
      <c r="B669" s="35"/>
      <c r="C669" s="35"/>
      <c r="D669" s="35"/>
      <c r="E669" s="35"/>
      <c r="F669" s="35"/>
    </row>
    <row r="670">
      <c r="B670" s="35"/>
      <c r="C670" s="35"/>
      <c r="D670" s="35"/>
      <c r="E670" s="35"/>
      <c r="F670" s="35"/>
    </row>
    <row r="671">
      <c r="B671" s="35"/>
      <c r="C671" s="35"/>
      <c r="D671" s="35"/>
      <c r="E671" s="35"/>
      <c r="F671" s="35"/>
    </row>
    <row r="672">
      <c r="B672" s="35"/>
      <c r="C672" s="35"/>
      <c r="D672" s="35"/>
      <c r="E672" s="35"/>
      <c r="F672" s="35"/>
    </row>
    <row r="673">
      <c r="B673" s="35"/>
      <c r="C673" s="35"/>
      <c r="D673" s="35"/>
      <c r="E673" s="35"/>
      <c r="F673" s="35"/>
    </row>
    <row r="674">
      <c r="B674" s="35"/>
      <c r="C674" s="35"/>
      <c r="D674" s="35"/>
      <c r="E674" s="35"/>
      <c r="F674" s="35"/>
    </row>
    <row r="675">
      <c r="B675" s="35"/>
      <c r="C675" s="35"/>
      <c r="D675" s="35"/>
      <c r="E675" s="35"/>
      <c r="F675" s="35"/>
    </row>
    <row r="676">
      <c r="B676" s="35"/>
      <c r="C676" s="35"/>
      <c r="D676" s="35"/>
      <c r="E676" s="35"/>
      <c r="F676" s="35"/>
    </row>
    <row r="677">
      <c r="B677" s="35"/>
      <c r="C677" s="35"/>
      <c r="D677" s="35"/>
      <c r="E677" s="35"/>
      <c r="F677" s="35"/>
    </row>
    <row r="678">
      <c r="B678" s="35"/>
      <c r="C678" s="35"/>
      <c r="D678" s="35"/>
      <c r="E678" s="35"/>
      <c r="F678" s="35"/>
    </row>
    <row r="679">
      <c r="B679" s="35"/>
      <c r="C679" s="35"/>
      <c r="D679" s="35"/>
      <c r="E679" s="35"/>
      <c r="F679" s="35"/>
    </row>
    <row r="680">
      <c r="B680" s="35"/>
      <c r="C680" s="35"/>
      <c r="D680" s="35"/>
      <c r="E680" s="35"/>
      <c r="F680" s="35"/>
    </row>
    <row r="681">
      <c r="B681" s="35"/>
      <c r="C681" s="35"/>
      <c r="D681" s="35"/>
      <c r="E681" s="35"/>
      <c r="F681" s="35"/>
    </row>
    <row r="682">
      <c r="B682" s="35"/>
      <c r="C682" s="35"/>
      <c r="D682" s="35"/>
      <c r="E682" s="35"/>
      <c r="F682" s="35"/>
    </row>
    <row r="683">
      <c r="B683" s="35"/>
      <c r="C683" s="35"/>
      <c r="D683" s="35"/>
      <c r="E683" s="35"/>
      <c r="F683" s="35"/>
    </row>
    <row r="684">
      <c r="B684" s="35"/>
      <c r="C684" s="35"/>
      <c r="D684" s="35"/>
      <c r="E684" s="35"/>
      <c r="F684" s="35"/>
    </row>
    <row r="685">
      <c r="B685" s="35"/>
      <c r="C685" s="35"/>
      <c r="D685" s="35"/>
      <c r="E685" s="35"/>
      <c r="F685" s="35"/>
    </row>
    <row r="686">
      <c r="B686" s="35"/>
      <c r="C686" s="35"/>
      <c r="D686" s="35"/>
      <c r="E686" s="35"/>
      <c r="F686" s="35"/>
    </row>
    <row r="687">
      <c r="B687" s="35"/>
      <c r="C687" s="35"/>
      <c r="D687" s="35"/>
      <c r="E687" s="35"/>
      <c r="F687" s="35"/>
    </row>
    <row r="688">
      <c r="B688" s="35"/>
      <c r="C688" s="35"/>
      <c r="D688" s="35"/>
      <c r="E688" s="35"/>
      <c r="F688" s="35"/>
    </row>
    <row r="689">
      <c r="B689" s="35"/>
      <c r="C689" s="35"/>
      <c r="D689" s="35"/>
      <c r="E689" s="35"/>
      <c r="F689" s="35"/>
    </row>
    <row r="690">
      <c r="B690" s="35"/>
      <c r="C690" s="35"/>
      <c r="D690" s="35"/>
      <c r="E690" s="35"/>
      <c r="F690" s="35"/>
    </row>
    <row r="691">
      <c r="B691" s="35"/>
      <c r="C691" s="35"/>
      <c r="D691" s="35"/>
      <c r="E691" s="35"/>
      <c r="F691" s="35"/>
    </row>
    <row r="692">
      <c r="B692" s="35"/>
      <c r="C692" s="35"/>
      <c r="D692" s="35"/>
      <c r="E692" s="35"/>
      <c r="F692" s="35"/>
    </row>
    <row r="693">
      <c r="B693" s="35"/>
      <c r="C693" s="35"/>
      <c r="D693" s="35"/>
      <c r="E693" s="35"/>
      <c r="F693" s="35"/>
    </row>
    <row r="694">
      <c r="B694" s="35"/>
      <c r="C694" s="35"/>
      <c r="D694" s="35"/>
      <c r="E694" s="35"/>
      <c r="F694" s="35"/>
    </row>
    <row r="695">
      <c r="B695" s="35"/>
      <c r="C695" s="35"/>
      <c r="D695" s="35"/>
      <c r="E695" s="35"/>
      <c r="F695" s="35"/>
    </row>
    <row r="696">
      <c r="B696" s="35"/>
      <c r="C696" s="35"/>
      <c r="D696" s="35"/>
      <c r="E696" s="35"/>
      <c r="F696" s="35"/>
    </row>
    <row r="697">
      <c r="B697" s="35"/>
      <c r="C697" s="35"/>
      <c r="D697" s="35"/>
      <c r="E697" s="35"/>
      <c r="F697" s="35"/>
    </row>
    <row r="698">
      <c r="B698" s="35"/>
      <c r="C698" s="35"/>
      <c r="D698" s="35"/>
      <c r="E698" s="35"/>
      <c r="F698" s="35"/>
    </row>
    <row r="699">
      <c r="B699" s="35"/>
      <c r="C699" s="35"/>
      <c r="D699" s="35"/>
      <c r="E699" s="35"/>
      <c r="F699" s="35"/>
    </row>
    <row r="700">
      <c r="B700" s="35"/>
      <c r="C700" s="35"/>
      <c r="D700" s="35"/>
      <c r="E700" s="35"/>
      <c r="F700" s="35"/>
    </row>
    <row r="701">
      <c r="B701" s="35"/>
      <c r="C701" s="35"/>
      <c r="D701" s="35"/>
      <c r="E701" s="35"/>
      <c r="F701" s="35"/>
    </row>
    <row r="702">
      <c r="B702" s="35"/>
      <c r="C702" s="35"/>
      <c r="D702" s="35"/>
      <c r="E702" s="35"/>
      <c r="F702" s="35"/>
    </row>
    <row r="703">
      <c r="B703" s="35"/>
      <c r="C703" s="35"/>
      <c r="D703" s="35"/>
      <c r="E703" s="35"/>
      <c r="F703" s="35"/>
    </row>
    <row r="704">
      <c r="B704" s="35"/>
      <c r="C704" s="35"/>
      <c r="D704" s="35"/>
      <c r="E704" s="35"/>
      <c r="F704" s="35"/>
    </row>
    <row r="705">
      <c r="B705" s="35"/>
      <c r="C705" s="35"/>
      <c r="D705" s="35"/>
      <c r="E705" s="35"/>
      <c r="F705" s="35"/>
    </row>
    <row r="706">
      <c r="B706" s="35"/>
      <c r="C706" s="35"/>
      <c r="D706" s="35"/>
      <c r="E706" s="35"/>
      <c r="F706" s="35"/>
    </row>
    <row r="707">
      <c r="B707" s="35"/>
      <c r="C707" s="35"/>
      <c r="D707" s="35"/>
      <c r="E707" s="35"/>
      <c r="F707" s="35"/>
    </row>
    <row r="708">
      <c r="B708" s="35"/>
      <c r="C708" s="35"/>
      <c r="D708" s="35"/>
      <c r="E708" s="35"/>
      <c r="F708" s="35"/>
    </row>
    <row r="709">
      <c r="B709" s="35"/>
      <c r="C709" s="35"/>
      <c r="D709" s="35"/>
      <c r="E709" s="35"/>
      <c r="F709" s="35"/>
    </row>
    <row r="710">
      <c r="B710" s="35"/>
      <c r="C710" s="35"/>
      <c r="D710" s="35"/>
      <c r="E710" s="35"/>
      <c r="F710" s="35"/>
    </row>
    <row r="711">
      <c r="B711" s="35"/>
      <c r="C711" s="35"/>
      <c r="D711" s="35"/>
      <c r="E711" s="35"/>
      <c r="F711" s="35"/>
    </row>
    <row r="712">
      <c r="B712" s="35"/>
      <c r="C712" s="35"/>
      <c r="D712" s="35"/>
      <c r="E712" s="35"/>
      <c r="F712" s="35"/>
    </row>
    <row r="713">
      <c r="B713" s="35"/>
      <c r="C713" s="35"/>
      <c r="D713" s="35"/>
      <c r="E713" s="35"/>
      <c r="F713" s="35"/>
    </row>
    <row r="714">
      <c r="B714" s="35"/>
      <c r="C714" s="35"/>
      <c r="D714" s="35"/>
      <c r="E714" s="35"/>
      <c r="F714" s="35"/>
    </row>
    <row r="715">
      <c r="B715" s="35"/>
      <c r="C715" s="35"/>
      <c r="D715" s="35"/>
      <c r="E715" s="35"/>
      <c r="F715" s="35"/>
    </row>
    <row r="716">
      <c r="B716" s="35"/>
      <c r="C716" s="35"/>
      <c r="D716" s="35"/>
      <c r="E716" s="35"/>
      <c r="F716" s="35"/>
    </row>
    <row r="717">
      <c r="B717" s="35"/>
      <c r="C717" s="35"/>
      <c r="D717" s="35"/>
      <c r="E717" s="35"/>
      <c r="F717" s="35"/>
    </row>
    <row r="718">
      <c r="B718" s="35"/>
      <c r="C718" s="35"/>
      <c r="D718" s="35"/>
      <c r="E718" s="35"/>
      <c r="F718" s="35"/>
    </row>
    <row r="719">
      <c r="B719" s="35"/>
      <c r="C719" s="35"/>
      <c r="D719" s="35"/>
      <c r="E719" s="35"/>
      <c r="F719" s="35"/>
    </row>
    <row r="720">
      <c r="B720" s="35"/>
      <c r="C720" s="35"/>
      <c r="D720" s="35"/>
      <c r="E720" s="35"/>
      <c r="F720" s="35"/>
    </row>
    <row r="721">
      <c r="B721" s="35"/>
      <c r="C721" s="35"/>
      <c r="D721" s="35"/>
      <c r="E721" s="35"/>
      <c r="F721" s="35"/>
    </row>
    <row r="722">
      <c r="B722" s="35"/>
      <c r="C722" s="35"/>
      <c r="D722" s="35"/>
      <c r="E722" s="35"/>
      <c r="F722" s="35"/>
    </row>
    <row r="723">
      <c r="B723" s="35"/>
      <c r="C723" s="35"/>
      <c r="D723" s="35"/>
      <c r="E723" s="35"/>
      <c r="F723" s="35"/>
    </row>
    <row r="724">
      <c r="B724" s="35"/>
      <c r="C724" s="35"/>
      <c r="D724" s="35"/>
      <c r="E724" s="35"/>
      <c r="F724" s="35"/>
    </row>
    <row r="725">
      <c r="B725" s="35"/>
      <c r="C725" s="35"/>
      <c r="D725" s="35"/>
      <c r="E725" s="35"/>
      <c r="F725" s="35"/>
    </row>
    <row r="726">
      <c r="B726" s="35"/>
      <c r="C726" s="35"/>
      <c r="D726" s="35"/>
      <c r="E726" s="35"/>
      <c r="F726" s="35"/>
    </row>
    <row r="727">
      <c r="B727" s="35"/>
      <c r="C727" s="35"/>
      <c r="D727" s="35"/>
      <c r="E727" s="35"/>
      <c r="F727" s="35"/>
    </row>
    <row r="728">
      <c r="B728" s="35"/>
      <c r="C728" s="35"/>
      <c r="D728" s="35"/>
      <c r="E728" s="35"/>
      <c r="F728" s="35"/>
    </row>
    <row r="729">
      <c r="B729" s="35"/>
      <c r="C729" s="35"/>
      <c r="D729" s="35"/>
      <c r="E729" s="35"/>
      <c r="F729" s="35"/>
    </row>
    <row r="730">
      <c r="B730" s="35"/>
      <c r="C730" s="35"/>
      <c r="D730" s="35"/>
      <c r="E730" s="35"/>
      <c r="F730" s="35"/>
    </row>
    <row r="731">
      <c r="B731" s="35"/>
      <c r="C731" s="35"/>
      <c r="D731" s="35"/>
      <c r="E731" s="35"/>
      <c r="F731" s="35"/>
    </row>
    <row r="732">
      <c r="B732" s="35"/>
      <c r="C732" s="35"/>
      <c r="D732" s="35"/>
      <c r="E732" s="35"/>
      <c r="F732" s="35"/>
    </row>
    <row r="733">
      <c r="B733" s="35"/>
      <c r="C733" s="35"/>
      <c r="D733" s="35"/>
      <c r="E733" s="35"/>
      <c r="F733" s="35"/>
    </row>
    <row r="734">
      <c r="B734" s="35"/>
      <c r="C734" s="35"/>
      <c r="D734" s="35"/>
      <c r="E734" s="35"/>
      <c r="F734" s="35"/>
    </row>
    <row r="735">
      <c r="B735" s="35"/>
      <c r="C735" s="35"/>
      <c r="D735" s="35"/>
      <c r="E735" s="35"/>
      <c r="F735" s="35"/>
    </row>
    <row r="736">
      <c r="B736" s="35"/>
      <c r="C736" s="35"/>
      <c r="D736" s="35"/>
      <c r="E736" s="35"/>
      <c r="F736" s="35"/>
    </row>
    <row r="737">
      <c r="B737" s="35"/>
      <c r="C737" s="35"/>
      <c r="D737" s="35"/>
      <c r="E737" s="35"/>
      <c r="F737" s="35"/>
    </row>
    <row r="738">
      <c r="B738" s="35"/>
      <c r="C738" s="35"/>
      <c r="D738" s="35"/>
      <c r="E738" s="35"/>
      <c r="F738" s="35"/>
    </row>
    <row r="739">
      <c r="B739" s="35"/>
      <c r="C739" s="35"/>
      <c r="D739" s="35"/>
      <c r="E739" s="35"/>
      <c r="F739" s="35"/>
    </row>
    <row r="740">
      <c r="B740" s="35"/>
      <c r="C740" s="35"/>
      <c r="D740" s="35"/>
      <c r="E740" s="35"/>
      <c r="F740" s="35"/>
    </row>
    <row r="741">
      <c r="B741" s="35"/>
      <c r="C741" s="35"/>
      <c r="D741" s="35"/>
      <c r="E741" s="35"/>
      <c r="F741" s="35"/>
    </row>
    <row r="742">
      <c r="B742" s="35"/>
      <c r="C742" s="35"/>
      <c r="D742" s="35"/>
      <c r="E742" s="35"/>
      <c r="F742" s="35"/>
    </row>
    <row r="743">
      <c r="B743" s="35"/>
      <c r="C743" s="35"/>
      <c r="D743" s="35"/>
      <c r="E743" s="35"/>
      <c r="F743" s="35"/>
    </row>
    <row r="744">
      <c r="B744" s="35"/>
      <c r="C744" s="35"/>
      <c r="D744" s="35"/>
      <c r="E744" s="35"/>
      <c r="F744" s="35"/>
    </row>
    <row r="745">
      <c r="B745" s="35"/>
      <c r="C745" s="35"/>
      <c r="D745" s="35"/>
      <c r="E745" s="35"/>
      <c r="F745" s="35"/>
    </row>
    <row r="746">
      <c r="B746" s="35"/>
      <c r="C746" s="35"/>
      <c r="D746" s="35"/>
      <c r="E746" s="35"/>
      <c r="F746" s="35"/>
    </row>
    <row r="747">
      <c r="B747" s="35"/>
      <c r="C747" s="35"/>
      <c r="D747" s="35"/>
      <c r="E747" s="35"/>
      <c r="F747" s="35"/>
    </row>
    <row r="748">
      <c r="B748" s="35"/>
      <c r="C748" s="35"/>
      <c r="D748" s="35"/>
      <c r="E748" s="35"/>
      <c r="F748" s="35"/>
    </row>
    <row r="749">
      <c r="B749" s="35"/>
      <c r="C749" s="35"/>
      <c r="D749" s="35"/>
      <c r="E749" s="35"/>
      <c r="F749" s="35"/>
    </row>
    <row r="750">
      <c r="B750" s="35"/>
      <c r="C750" s="35"/>
      <c r="D750" s="35"/>
      <c r="E750" s="35"/>
      <c r="F750" s="35"/>
    </row>
    <row r="751">
      <c r="B751" s="35"/>
      <c r="C751" s="35"/>
      <c r="D751" s="35"/>
      <c r="E751" s="35"/>
      <c r="F751" s="35"/>
    </row>
    <row r="752">
      <c r="B752" s="35"/>
      <c r="C752" s="35"/>
      <c r="D752" s="35"/>
      <c r="E752" s="35"/>
      <c r="F752" s="35"/>
    </row>
    <row r="753">
      <c r="B753" s="35"/>
      <c r="C753" s="35"/>
      <c r="D753" s="35"/>
      <c r="E753" s="35"/>
      <c r="F753" s="35"/>
    </row>
    <row r="754">
      <c r="B754" s="35"/>
      <c r="C754" s="35"/>
      <c r="D754" s="35"/>
      <c r="E754" s="35"/>
      <c r="F754" s="35"/>
    </row>
    <row r="755">
      <c r="B755" s="35"/>
      <c r="C755" s="35"/>
      <c r="D755" s="35"/>
      <c r="E755" s="35"/>
      <c r="F755" s="35"/>
    </row>
    <row r="756">
      <c r="B756" s="35"/>
      <c r="C756" s="35"/>
      <c r="D756" s="35"/>
      <c r="E756" s="35"/>
      <c r="F756" s="35"/>
    </row>
    <row r="757">
      <c r="B757" s="35"/>
      <c r="C757" s="35"/>
      <c r="D757" s="35"/>
      <c r="E757" s="35"/>
      <c r="F757" s="35"/>
    </row>
    <row r="758">
      <c r="B758" s="35"/>
      <c r="C758" s="35"/>
      <c r="D758" s="35"/>
      <c r="E758" s="35"/>
      <c r="F758" s="35"/>
    </row>
    <row r="759">
      <c r="B759" s="35"/>
      <c r="C759" s="35"/>
      <c r="D759" s="35"/>
      <c r="E759" s="35"/>
      <c r="F759" s="35"/>
    </row>
    <row r="760">
      <c r="B760" s="35"/>
      <c r="C760" s="35"/>
      <c r="D760" s="35"/>
      <c r="E760" s="35"/>
      <c r="F760" s="35"/>
    </row>
    <row r="761">
      <c r="B761" s="35"/>
      <c r="C761" s="35"/>
      <c r="D761" s="35"/>
      <c r="E761" s="35"/>
      <c r="F761" s="35"/>
    </row>
    <row r="762">
      <c r="B762" s="35"/>
      <c r="C762" s="35"/>
      <c r="D762" s="35"/>
      <c r="E762" s="35"/>
      <c r="F762" s="35"/>
    </row>
    <row r="763">
      <c r="B763" s="35"/>
      <c r="C763" s="35"/>
      <c r="D763" s="35"/>
      <c r="E763" s="35"/>
      <c r="F763" s="35"/>
    </row>
    <row r="764">
      <c r="B764" s="35"/>
      <c r="C764" s="35"/>
      <c r="D764" s="35"/>
      <c r="E764" s="35"/>
      <c r="F764" s="35"/>
    </row>
    <row r="765">
      <c r="B765" s="35"/>
      <c r="C765" s="35"/>
      <c r="D765" s="35"/>
      <c r="E765" s="35"/>
      <c r="F765" s="35"/>
    </row>
    <row r="766">
      <c r="B766" s="35"/>
      <c r="C766" s="35"/>
      <c r="D766" s="35"/>
      <c r="E766" s="35"/>
      <c r="F766" s="35"/>
    </row>
    <row r="767">
      <c r="B767" s="35"/>
      <c r="C767" s="35"/>
      <c r="D767" s="35"/>
      <c r="E767" s="35"/>
      <c r="F767" s="35"/>
    </row>
    <row r="768">
      <c r="B768" s="35"/>
      <c r="C768" s="35"/>
      <c r="D768" s="35"/>
      <c r="E768" s="35"/>
      <c r="F768" s="35"/>
    </row>
    <row r="769">
      <c r="B769" s="35"/>
      <c r="C769" s="35"/>
      <c r="D769" s="35"/>
      <c r="E769" s="35"/>
      <c r="F769" s="35"/>
    </row>
    <row r="770">
      <c r="B770" s="35"/>
      <c r="C770" s="35"/>
      <c r="D770" s="35"/>
      <c r="E770" s="35"/>
      <c r="F770" s="35"/>
    </row>
    <row r="771">
      <c r="B771" s="35"/>
      <c r="C771" s="35"/>
      <c r="D771" s="35"/>
      <c r="E771" s="35"/>
      <c r="F771" s="35"/>
    </row>
    <row r="772">
      <c r="B772" s="35"/>
      <c r="C772" s="35"/>
      <c r="D772" s="35"/>
      <c r="E772" s="35"/>
      <c r="F772" s="35"/>
    </row>
    <row r="773">
      <c r="B773" s="35"/>
      <c r="C773" s="35"/>
      <c r="D773" s="35"/>
      <c r="E773" s="35"/>
      <c r="F773" s="35"/>
    </row>
    <row r="774">
      <c r="B774" s="35"/>
      <c r="C774" s="35"/>
      <c r="D774" s="35"/>
      <c r="E774" s="35"/>
      <c r="F774" s="35"/>
    </row>
    <row r="775">
      <c r="B775" s="35"/>
      <c r="C775" s="35"/>
      <c r="D775" s="35"/>
      <c r="E775" s="35"/>
      <c r="F775" s="35"/>
    </row>
    <row r="776">
      <c r="B776" s="35"/>
      <c r="C776" s="35"/>
      <c r="D776" s="35"/>
      <c r="E776" s="35"/>
      <c r="F776" s="35"/>
    </row>
    <row r="777">
      <c r="B777" s="35"/>
      <c r="C777" s="35"/>
      <c r="D777" s="35"/>
      <c r="E777" s="35"/>
      <c r="F777" s="35"/>
    </row>
    <row r="778">
      <c r="B778" s="35"/>
      <c r="C778" s="35"/>
      <c r="D778" s="35"/>
      <c r="E778" s="35"/>
      <c r="F778" s="35"/>
    </row>
    <row r="779">
      <c r="B779" s="35"/>
      <c r="C779" s="35"/>
      <c r="D779" s="35"/>
      <c r="E779" s="35"/>
      <c r="F779" s="35"/>
    </row>
    <row r="780">
      <c r="B780" s="35"/>
      <c r="C780" s="35"/>
      <c r="D780" s="35"/>
      <c r="E780" s="35"/>
      <c r="F780" s="35"/>
    </row>
    <row r="781">
      <c r="B781" s="35"/>
      <c r="C781" s="35"/>
      <c r="D781" s="35"/>
      <c r="E781" s="35"/>
      <c r="F781" s="35"/>
    </row>
    <row r="782">
      <c r="B782" s="35"/>
      <c r="C782" s="35"/>
      <c r="D782" s="35"/>
      <c r="E782" s="35"/>
      <c r="F782" s="35"/>
    </row>
    <row r="783">
      <c r="B783" s="35"/>
      <c r="C783" s="35"/>
      <c r="D783" s="35"/>
      <c r="E783" s="35"/>
      <c r="F783" s="35"/>
    </row>
    <row r="784">
      <c r="B784" s="35"/>
      <c r="C784" s="35"/>
      <c r="D784" s="35"/>
      <c r="E784" s="35"/>
      <c r="F784" s="35"/>
    </row>
    <row r="785">
      <c r="B785" s="35"/>
      <c r="C785" s="35"/>
      <c r="D785" s="35"/>
      <c r="E785" s="35"/>
      <c r="F785" s="35"/>
    </row>
    <row r="786">
      <c r="B786" s="35"/>
      <c r="C786" s="35"/>
      <c r="D786" s="35"/>
      <c r="E786" s="35"/>
      <c r="F786" s="35"/>
    </row>
    <row r="787">
      <c r="B787" s="35"/>
      <c r="C787" s="35"/>
      <c r="D787" s="35"/>
      <c r="E787" s="35"/>
      <c r="F787" s="35"/>
    </row>
    <row r="788">
      <c r="B788" s="35"/>
      <c r="C788" s="35"/>
      <c r="D788" s="35"/>
      <c r="E788" s="35"/>
      <c r="F788" s="35"/>
    </row>
    <row r="789">
      <c r="B789" s="35"/>
      <c r="C789" s="35"/>
      <c r="D789" s="35"/>
      <c r="E789" s="35"/>
      <c r="F789" s="35"/>
    </row>
    <row r="790">
      <c r="B790" s="35"/>
      <c r="C790" s="35"/>
      <c r="D790" s="35"/>
      <c r="E790" s="35"/>
      <c r="F790" s="35"/>
    </row>
    <row r="791">
      <c r="B791" s="35"/>
      <c r="C791" s="35"/>
      <c r="D791" s="35"/>
      <c r="E791" s="35"/>
      <c r="F791" s="35"/>
    </row>
    <row r="792">
      <c r="B792" s="35"/>
      <c r="C792" s="35"/>
      <c r="D792" s="35"/>
      <c r="E792" s="35"/>
      <c r="F792" s="35"/>
    </row>
    <row r="793">
      <c r="B793" s="35"/>
      <c r="C793" s="35"/>
      <c r="D793" s="35"/>
      <c r="E793" s="35"/>
      <c r="F793" s="35"/>
    </row>
    <row r="794">
      <c r="B794" s="35"/>
      <c r="C794" s="35"/>
      <c r="D794" s="35"/>
      <c r="E794" s="35"/>
      <c r="F794" s="35"/>
    </row>
    <row r="795">
      <c r="B795" s="35"/>
      <c r="C795" s="35"/>
      <c r="D795" s="35"/>
      <c r="E795" s="35"/>
      <c r="F795" s="35"/>
    </row>
    <row r="796">
      <c r="B796" s="35"/>
      <c r="C796" s="35"/>
      <c r="D796" s="35"/>
      <c r="E796" s="35"/>
      <c r="F796" s="35"/>
    </row>
    <row r="797">
      <c r="B797" s="35"/>
      <c r="C797" s="35"/>
      <c r="D797" s="35"/>
      <c r="E797" s="35"/>
      <c r="F797" s="35"/>
    </row>
    <row r="798">
      <c r="B798" s="35"/>
      <c r="C798" s="35"/>
      <c r="D798" s="35"/>
      <c r="E798" s="35"/>
      <c r="F798" s="35"/>
    </row>
    <row r="799">
      <c r="B799" s="35"/>
      <c r="C799" s="35"/>
      <c r="D799" s="35"/>
      <c r="E799" s="35"/>
      <c r="F799" s="35"/>
    </row>
    <row r="800">
      <c r="B800" s="35"/>
      <c r="C800" s="35"/>
      <c r="D800" s="35"/>
      <c r="E800" s="35"/>
      <c r="F800" s="35"/>
    </row>
    <row r="801">
      <c r="B801" s="35"/>
      <c r="C801" s="35"/>
      <c r="D801" s="35"/>
      <c r="E801" s="35"/>
      <c r="F801" s="35"/>
    </row>
    <row r="802">
      <c r="B802" s="35"/>
      <c r="C802" s="35"/>
      <c r="D802" s="35"/>
      <c r="E802" s="35"/>
      <c r="F802" s="35"/>
    </row>
    <row r="803">
      <c r="B803" s="35"/>
      <c r="C803" s="35"/>
      <c r="D803" s="35"/>
      <c r="E803" s="35"/>
      <c r="F803" s="35"/>
    </row>
    <row r="804">
      <c r="B804" s="35"/>
      <c r="C804" s="35"/>
      <c r="D804" s="35"/>
      <c r="E804" s="35"/>
      <c r="F804" s="35"/>
    </row>
    <row r="805">
      <c r="B805" s="35"/>
      <c r="C805" s="35"/>
      <c r="D805" s="35"/>
      <c r="E805" s="35"/>
      <c r="F805" s="35"/>
    </row>
    <row r="806">
      <c r="B806" s="35"/>
      <c r="C806" s="35"/>
      <c r="D806" s="35"/>
      <c r="E806" s="35"/>
      <c r="F806" s="35"/>
    </row>
    <row r="807">
      <c r="B807" s="35"/>
      <c r="C807" s="35"/>
      <c r="D807" s="35"/>
      <c r="E807" s="35"/>
      <c r="F807" s="35"/>
    </row>
    <row r="808">
      <c r="B808" s="35"/>
      <c r="C808" s="35"/>
      <c r="D808" s="35"/>
      <c r="E808" s="35"/>
      <c r="F808" s="35"/>
    </row>
    <row r="809">
      <c r="B809" s="35"/>
      <c r="C809" s="35"/>
      <c r="D809" s="35"/>
      <c r="E809" s="35"/>
      <c r="F809" s="35"/>
    </row>
    <row r="810">
      <c r="B810" s="35"/>
      <c r="C810" s="35"/>
      <c r="D810" s="35"/>
      <c r="E810" s="35"/>
      <c r="F810" s="35"/>
    </row>
    <row r="811">
      <c r="B811" s="35"/>
      <c r="C811" s="35"/>
      <c r="D811" s="35"/>
      <c r="E811" s="35"/>
      <c r="F811" s="35"/>
    </row>
    <row r="812">
      <c r="B812" s="35"/>
      <c r="C812" s="35"/>
      <c r="D812" s="35"/>
      <c r="E812" s="35"/>
      <c r="F812" s="35"/>
    </row>
    <row r="813">
      <c r="B813" s="35"/>
      <c r="C813" s="35"/>
      <c r="D813" s="35"/>
      <c r="E813" s="35"/>
      <c r="F813" s="35"/>
    </row>
    <row r="814">
      <c r="B814" s="35"/>
      <c r="C814" s="35"/>
      <c r="D814" s="35"/>
      <c r="E814" s="35"/>
      <c r="F814" s="35"/>
    </row>
    <row r="815">
      <c r="B815" s="35"/>
      <c r="C815" s="35"/>
      <c r="D815" s="35"/>
      <c r="E815" s="35"/>
      <c r="F815" s="35"/>
    </row>
    <row r="816">
      <c r="B816" s="35"/>
      <c r="C816" s="35"/>
      <c r="D816" s="35"/>
      <c r="E816" s="35"/>
      <c r="F816" s="35"/>
    </row>
    <row r="817">
      <c r="B817" s="35"/>
      <c r="C817" s="35"/>
      <c r="D817" s="35"/>
      <c r="E817" s="35"/>
      <c r="F817" s="35"/>
    </row>
    <row r="818">
      <c r="B818" s="35"/>
      <c r="C818" s="35"/>
      <c r="D818" s="35"/>
      <c r="E818" s="35"/>
      <c r="F818" s="35"/>
    </row>
    <row r="819">
      <c r="B819" s="35"/>
      <c r="C819" s="35"/>
      <c r="D819" s="35"/>
      <c r="E819" s="35"/>
      <c r="F819" s="35"/>
    </row>
    <row r="820">
      <c r="B820" s="35"/>
      <c r="C820" s="35"/>
      <c r="D820" s="35"/>
      <c r="E820" s="35"/>
      <c r="F820" s="35"/>
    </row>
    <row r="821">
      <c r="B821" s="35"/>
      <c r="C821" s="35"/>
      <c r="D821" s="35"/>
      <c r="E821" s="35"/>
      <c r="F821" s="35"/>
    </row>
    <row r="822">
      <c r="B822" s="35"/>
      <c r="C822" s="35"/>
      <c r="D822" s="35"/>
      <c r="E822" s="35"/>
      <c r="F822" s="35"/>
    </row>
    <row r="823">
      <c r="B823" s="35"/>
      <c r="C823" s="35"/>
      <c r="D823" s="35"/>
      <c r="E823" s="35"/>
      <c r="F823" s="35"/>
    </row>
    <row r="824">
      <c r="B824" s="35"/>
      <c r="C824" s="35"/>
      <c r="D824" s="35"/>
      <c r="E824" s="35"/>
      <c r="F824" s="35"/>
    </row>
    <row r="825">
      <c r="B825" s="35"/>
      <c r="C825" s="35"/>
      <c r="D825" s="35"/>
      <c r="E825" s="35"/>
      <c r="F825" s="35"/>
    </row>
    <row r="826">
      <c r="B826" s="35"/>
      <c r="C826" s="35"/>
      <c r="D826" s="35"/>
      <c r="E826" s="35"/>
      <c r="F826" s="35"/>
    </row>
    <row r="827">
      <c r="B827" s="35"/>
      <c r="C827" s="35"/>
      <c r="D827" s="35"/>
      <c r="E827" s="35"/>
      <c r="F827" s="35"/>
    </row>
    <row r="828">
      <c r="B828" s="35"/>
      <c r="C828" s="35"/>
      <c r="D828" s="35"/>
      <c r="E828" s="35"/>
      <c r="F828" s="35"/>
    </row>
    <row r="829">
      <c r="B829" s="35"/>
      <c r="C829" s="35"/>
      <c r="D829" s="35"/>
      <c r="E829" s="35"/>
      <c r="F829" s="35"/>
    </row>
    <row r="830">
      <c r="B830" s="35"/>
      <c r="C830" s="35"/>
      <c r="D830" s="35"/>
      <c r="E830" s="35"/>
      <c r="F830" s="35"/>
    </row>
    <row r="831">
      <c r="B831" s="35"/>
      <c r="C831" s="35"/>
      <c r="D831" s="35"/>
      <c r="E831" s="35"/>
      <c r="F831" s="35"/>
    </row>
    <row r="832">
      <c r="B832" s="35"/>
      <c r="C832" s="35"/>
      <c r="D832" s="35"/>
      <c r="E832" s="35"/>
      <c r="F832" s="35"/>
    </row>
    <row r="833">
      <c r="B833" s="35"/>
      <c r="C833" s="35"/>
      <c r="D833" s="35"/>
      <c r="E833" s="35"/>
      <c r="F833" s="35"/>
    </row>
    <row r="834">
      <c r="B834" s="35"/>
      <c r="C834" s="35"/>
      <c r="D834" s="35"/>
      <c r="E834" s="35"/>
      <c r="F834" s="35"/>
    </row>
    <row r="835">
      <c r="B835" s="35"/>
      <c r="C835" s="35"/>
      <c r="D835" s="35"/>
      <c r="E835" s="35"/>
      <c r="F835" s="35"/>
    </row>
    <row r="836">
      <c r="B836" s="35"/>
      <c r="C836" s="35"/>
      <c r="D836" s="35"/>
      <c r="E836" s="35"/>
      <c r="F836" s="35"/>
    </row>
    <row r="837">
      <c r="B837" s="35"/>
      <c r="C837" s="35"/>
      <c r="D837" s="35"/>
      <c r="E837" s="35"/>
      <c r="F837" s="35"/>
    </row>
    <row r="838">
      <c r="B838" s="35"/>
      <c r="C838" s="35"/>
      <c r="D838" s="35"/>
      <c r="E838" s="35"/>
      <c r="F838" s="35"/>
    </row>
    <row r="839">
      <c r="B839" s="35"/>
      <c r="C839" s="35"/>
      <c r="D839" s="35"/>
      <c r="E839" s="35"/>
      <c r="F839" s="35"/>
    </row>
    <row r="840">
      <c r="B840" s="35"/>
      <c r="C840" s="35"/>
      <c r="D840" s="35"/>
      <c r="E840" s="35"/>
      <c r="F840" s="35"/>
    </row>
    <row r="841">
      <c r="B841" s="35"/>
      <c r="C841" s="35"/>
      <c r="D841" s="35"/>
      <c r="E841" s="35"/>
      <c r="F841" s="35"/>
    </row>
    <row r="842">
      <c r="B842" s="35"/>
      <c r="C842" s="35"/>
      <c r="D842" s="35"/>
      <c r="E842" s="35"/>
      <c r="F842" s="35"/>
    </row>
    <row r="843">
      <c r="B843" s="35"/>
      <c r="C843" s="35"/>
      <c r="D843" s="35"/>
      <c r="E843" s="35"/>
      <c r="F843" s="35"/>
    </row>
    <row r="844">
      <c r="B844" s="35"/>
      <c r="C844" s="35"/>
      <c r="D844" s="35"/>
      <c r="E844" s="35"/>
      <c r="F844" s="35"/>
    </row>
    <row r="845">
      <c r="B845" s="35"/>
      <c r="C845" s="35"/>
      <c r="D845" s="35"/>
      <c r="E845" s="35"/>
      <c r="F845" s="35"/>
    </row>
    <row r="846">
      <c r="B846" s="35"/>
      <c r="C846" s="35"/>
      <c r="D846" s="35"/>
      <c r="E846" s="35"/>
      <c r="F846" s="35"/>
    </row>
    <row r="847">
      <c r="B847" s="35"/>
      <c r="C847" s="35"/>
      <c r="D847" s="35"/>
      <c r="E847" s="35"/>
      <c r="F847" s="35"/>
    </row>
    <row r="848">
      <c r="B848" s="35"/>
      <c r="C848" s="35"/>
      <c r="D848" s="35"/>
      <c r="E848" s="35"/>
      <c r="F848" s="35"/>
    </row>
    <row r="849">
      <c r="B849" s="35"/>
      <c r="C849" s="35"/>
      <c r="D849" s="35"/>
      <c r="E849" s="35"/>
      <c r="F849" s="35"/>
    </row>
    <row r="850">
      <c r="B850" s="35"/>
      <c r="C850" s="35"/>
      <c r="D850" s="35"/>
      <c r="E850" s="35"/>
      <c r="F850" s="35"/>
    </row>
    <row r="851">
      <c r="B851" s="35"/>
      <c r="C851" s="35"/>
      <c r="D851" s="35"/>
      <c r="E851" s="35"/>
      <c r="F851" s="35"/>
    </row>
    <row r="852">
      <c r="B852" s="35"/>
      <c r="C852" s="35"/>
      <c r="D852" s="35"/>
      <c r="E852" s="35"/>
      <c r="F852" s="35"/>
    </row>
    <row r="853">
      <c r="B853" s="35"/>
      <c r="C853" s="35"/>
      <c r="D853" s="35"/>
      <c r="E853" s="35"/>
      <c r="F853" s="35"/>
    </row>
    <row r="854">
      <c r="B854" s="35"/>
      <c r="C854" s="35"/>
      <c r="D854" s="35"/>
      <c r="E854" s="35"/>
      <c r="F854" s="35"/>
    </row>
    <row r="855">
      <c r="B855" s="35"/>
      <c r="C855" s="35"/>
      <c r="D855" s="35"/>
      <c r="E855" s="35"/>
      <c r="F855" s="35"/>
    </row>
    <row r="856">
      <c r="B856" s="35"/>
      <c r="C856" s="35"/>
      <c r="D856" s="35"/>
      <c r="E856" s="35"/>
      <c r="F856" s="35"/>
    </row>
    <row r="857">
      <c r="B857" s="35"/>
      <c r="C857" s="35"/>
      <c r="D857" s="35"/>
      <c r="E857" s="35"/>
      <c r="F857" s="35"/>
    </row>
    <row r="858">
      <c r="B858" s="35"/>
      <c r="C858" s="35"/>
      <c r="D858" s="35"/>
      <c r="E858" s="35"/>
      <c r="F858" s="35"/>
    </row>
    <row r="859">
      <c r="B859" s="35"/>
      <c r="C859" s="35"/>
      <c r="D859" s="35"/>
      <c r="E859" s="35"/>
      <c r="F859" s="35"/>
    </row>
    <row r="860">
      <c r="B860" s="35"/>
      <c r="C860" s="35"/>
      <c r="D860" s="35"/>
      <c r="E860" s="35"/>
      <c r="F860" s="35"/>
    </row>
    <row r="861">
      <c r="B861" s="35"/>
      <c r="C861" s="35"/>
      <c r="D861" s="35"/>
      <c r="E861" s="35"/>
      <c r="F861" s="35"/>
    </row>
    <row r="862">
      <c r="B862" s="35"/>
      <c r="C862" s="35"/>
      <c r="D862" s="35"/>
      <c r="E862" s="35"/>
      <c r="F862" s="35"/>
    </row>
    <row r="863">
      <c r="B863" s="35"/>
      <c r="C863" s="35"/>
      <c r="D863" s="35"/>
      <c r="E863" s="35"/>
      <c r="F863" s="35"/>
    </row>
    <row r="864">
      <c r="B864" s="35"/>
      <c r="C864" s="35"/>
      <c r="D864" s="35"/>
      <c r="E864" s="35"/>
      <c r="F864" s="35"/>
    </row>
    <row r="865">
      <c r="B865" s="35"/>
      <c r="C865" s="35"/>
      <c r="D865" s="35"/>
      <c r="E865" s="35"/>
      <c r="F865" s="35"/>
    </row>
    <row r="866">
      <c r="B866" s="35"/>
      <c r="C866" s="35"/>
      <c r="D866" s="35"/>
      <c r="E866" s="35"/>
      <c r="F866" s="35"/>
    </row>
    <row r="867">
      <c r="B867" s="35"/>
      <c r="C867" s="35"/>
      <c r="D867" s="35"/>
      <c r="E867" s="35"/>
      <c r="F867" s="35"/>
    </row>
    <row r="868">
      <c r="B868" s="35"/>
      <c r="C868" s="35"/>
      <c r="D868" s="35"/>
      <c r="E868" s="35"/>
      <c r="F868" s="35"/>
    </row>
    <row r="869">
      <c r="B869" s="35"/>
      <c r="C869" s="35"/>
      <c r="D869" s="35"/>
      <c r="E869" s="35"/>
      <c r="F869" s="35"/>
    </row>
    <row r="870">
      <c r="B870" s="35"/>
      <c r="C870" s="35"/>
      <c r="D870" s="35"/>
      <c r="E870" s="35"/>
      <c r="F870" s="35"/>
    </row>
    <row r="871">
      <c r="B871" s="35"/>
      <c r="C871" s="35"/>
      <c r="D871" s="35"/>
      <c r="E871" s="35"/>
      <c r="F871" s="35"/>
    </row>
    <row r="872">
      <c r="B872" s="35"/>
      <c r="C872" s="35"/>
      <c r="D872" s="35"/>
      <c r="E872" s="35"/>
      <c r="F872" s="35"/>
    </row>
    <row r="873">
      <c r="B873" s="35"/>
      <c r="C873" s="35"/>
      <c r="D873" s="35"/>
      <c r="E873" s="35"/>
      <c r="F873" s="35"/>
    </row>
    <row r="874">
      <c r="B874" s="35"/>
      <c r="C874" s="35"/>
      <c r="D874" s="35"/>
      <c r="E874" s="35"/>
      <c r="F874" s="35"/>
    </row>
    <row r="875">
      <c r="B875" s="35"/>
      <c r="C875" s="35"/>
      <c r="D875" s="35"/>
      <c r="E875" s="35"/>
      <c r="F875" s="35"/>
    </row>
    <row r="876">
      <c r="B876" s="35"/>
      <c r="C876" s="35"/>
      <c r="D876" s="35"/>
      <c r="E876" s="35"/>
      <c r="F876" s="35"/>
    </row>
    <row r="877">
      <c r="B877" s="35"/>
      <c r="C877" s="35"/>
      <c r="D877" s="35"/>
      <c r="E877" s="35"/>
      <c r="F877" s="35"/>
    </row>
    <row r="878">
      <c r="B878" s="35"/>
      <c r="C878" s="35"/>
      <c r="D878" s="35"/>
      <c r="E878" s="35"/>
      <c r="F878" s="35"/>
    </row>
    <row r="879">
      <c r="B879" s="35"/>
      <c r="C879" s="35"/>
      <c r="D879" s="35"/>
      <c r="E879" s="35"/>
      <c r="F879" s="35"/>
    </row>
    <row r="880">
      <c r="B880" s="35"/>
      <c r="C880" s="35"/>
      <c r="D880" s="35"/>
      <c r="E880" s="35"/>
      <c r="F880" s="35"/>
    </row>
    <row r="881">
      <c r="B881" s="35"/>
      <c r="C881" s="35"/>
      <c r="D881" s="35"/>
      <c r="E881" s="35"/>
      <c r="F881" s="35"/>
    </row>
    <row r="882">
      <c r="B882" s="35"/>
      <c r="C882" s="35"/>
      <c r="D882" s="35"/>
      <c r="E882" s="35"/>
      <c r="F882" s="35"/>
    </row>
    <row r="883">
      <c r="B883" s="35"/>
      <c r="C883" s="35"/>
      <c r="D883" s="35"/>
      <c r="E883" s="35"/>
      <c r="F883" s="35"/>
    </row>
    <row r="884">
      <c r="B884" s="35"/>
      <c r="C884" s="35"/>
      <c r="D884" s="35"/>
      <c r="E884" s="35"/>
      <c r="F884" s="35"/>
    </row>
    <row r="885">
      <c r="B885" s="35"/>
      <c r="C885" s="35"/>
      <c r="D885" s="35"/>
      <c r="E885" s="35"/>
      <c r="F885" s="35"/>
    </row>
    <row r="886">
      <c r="B886" s="35"/>
      <c r="C886" s="35"/>
      <c r="D886" s="35"/>
      <c r="E886" s="35"/>
      <c r="F886" s="35"/>
    </row>
    <row r="887">
      <c r="B887" s="35"/>
      <c r="C887" s="35"/>
      <c r="D887" s="35"/>
      <c r="E887" s="35"/>
      <c r="F887" s="35"/>
    </row>
    <row r="888">
      <c r="B888" s="35"/>
      <c r="C888" s="35"/>
      <c r="D888" s="35"/>
      <c r="E888" s="35"/>
      <c r="F888" s="35"/>
    </row>
    <row r="889">
      <c r="B889" s="35"/>
      <c r="C889" s="35"/>
      <c r="D889" s="35"/>
      <c r="E889" s="35"/>
      <c r="F889" s="35"/>
    </row>
    <row r="890">
      <c r="B890" s="35"/>
      <c r="C890" s="35"/>
      <c r="D890" s="35"/>
      <c r="E890" s="35"/>
      <c r="F890" s="35"/>
    </row>
    <row r="891">
      <c r="B891" s="35"/>
      <c r="C891" s="35"/>
      <c r="D891" s="35"/>
      <c r="E891" s="35"/>
      <c r="F891" s="35"/>
    </row>
    <row r="892">
      <c r="B892" s="35"/>
      <c r="C892" s="35"/>
      <c r="D892" s="35"/>
      <c r="E892" s="35"/>
      <c r="F892" s="35"/>
    </row>
    <row r="893">
      <c r="B893" s="35"/>
      <c r="C893" s="35"/>
      <c r="D893" s="35"/>
      <c r="E893" s="35"/>
      <c r="F893" s="35"/>
    </row>
    <row r="894">
      <c r="B894" s="35"/>
      <c r="C894" s="35"/>
      <c r="D894" s="35"/>
      <c r="E894" s="35"/>
      <c r="F894" s="35"/>
    </row>
    <row r="895">
      <c r="B895" s="35"/>
      <c r="C895" s="35"/>
      <c r="D895" s="35"/>
      <c r="E895" s="35"/>
      <c r="F895" s="35"/>
    </row>
    <row r="896">
      <c r="B896" s="35"/>
      <c r="C896" s="35"/>
      <c r="D896" s="35"/>
      <c r="E896" s="35"/>
      <c r="F896" s="35"/>
    </row>
    <row r="897">
      <c r="B897" s="35"/>
      <c r="C897" s="35"/>
      <c r="D897" s="35"/>
      <c r="E897" s="35"/>
      <c r="F897" s="35"/>
    </row>
    <row r="898">
      <c r="B898" s="35"/>
      <c r="C898" s="35"/>
      <c r="D898" s="35"/>
      <c r="E898" s="35"/>
      <c r="F898" s="35"/>
    </row>
    <row r="899">
      <c r="B899" s="35"/>
      <c r="C899" s="35"/>
      <c r="D899" s="35"/>
      <c r="E899" s="35"/>
      <c r="F899" s="35"/>
    </row>
    <row r="900">
      <c r="B900" s="35"/>
      <c r="C900" s="35"/>
      <c r="D900" s="35"/>
      <c r="E900" s="35"/>
      <c r="F900" s="35"/>
    </row>
    <row r="901">
      <c r="B901" s="35"/>
      <c r="C901" s="35"/>
      <c r="D901" s="35"/>
      <c r="E901" s="35"/>
      <c r="F901" s="35"/>
    </row>
    <row r="902">
      <c r="B902" s="35"/>
      <c r="C902" s="35"/>
      <c r="D902" s="35"/>
      <c r="E902" s="35"/>
      <c r="F902" s="35"/>
    </row>
    <row r="903">
      <c r="B903" s="35"/>
      <c r="C903" s="35"/>
      <c r="D903" s="35"/>
      <c r="E903" s="35"/>
      <c r="F903" s="35"/>
    </row>
    <row r="904">
      <c r="B904" s="35"/>
      <c r="C904" s="35"/>
      <c r="D904" s="35"/>
      <c r="E904" s="35"/>
      <c r="F904" s="35"/>
    </row>
    <row r="905">
      <c r="B905" s="35"/>
      <c r="C905" s="35"/>
      <c r="D905" s="35"/>
      <c r="E905" s="35"/>
      <c r="F905" s="35"/>
    </row>
    <row r="906">
      <c r="B906" s="35"/>
      <c r="C906" s="35"/>
      <c r="D906" s="35"/>
      <c r="E906" s="35"/>
      <c r="F906" s="35"/>
    </row>
    <row r="907">
      <c r="B907" s="35"/>
      <c r="C907" s="35"/>
      <c r="D907" s="35"/>
      <c r="E907" s="35"/>
      <c r="F907" s="35"/>
    </row>
    <row r="908">
      <c r="B908" s="35"/>
      <c r="C908" s="35"/>
      <c r="D908" s="35"/>
      <c r="E908" s="35"/>
      <c r="F908" s="35"/>
    </row>
    <row r="909">
      <c r="B909" s="35"/>
      <c r="C909" s="35"/>
      <c r="D909" s="35"/>
      <c r="E909" s="35"/>
      <c r="F909" s="35"/>
    </row>
    <row r="910">
      <c r="B910" s="35"/>
      <c r="C910" s="35"/>
      <c r="D910" s="35"/>
      <c r="E910" s="35"/>
      <c r="F910" s="35"/>
    </row>
    <row r="911">
      <c r="B911" s="35"/>
      <c r="C911" s="35"/>
      <c r="D911" s="35"/>
      <c r="E911" s="35"/>
      <c r="F911" s="35"/>
    </row>
    <row r="912">
      <c r="B912" s="35"/>
      <c r="C912" s="35"/>
      <c r="D912" s="35"/>
      <c r="E912" s="35"/>
      <c r="F912" s="35"/>
    </row>
    <row r="913">
      <c r="B913" s="35"/>
      <c r="C913" s="35"/>
      <c r="D913" s="35"/>
      <c r="E913" s="35"/>
      <c r="F913" s="35"/>
    </row>
    <row r="914">
      <c r="B914" s="35"/>
      <c r="C914" s="35"/>
      <c r="D914" s="35"/>
      <c r="E914" s="35"/>
      <c r="F914" s="35"/>
    </row>
    <row r="915">
      <c r="B915" s="35"/>
      <c r="C915" s="35"/>
      <c r="D915" s="35"/>
      <c r="E915" s="35"/>
      <c r="F915" s="35"/>
    </row>
    <row r="916">
      <c r="B916" s="35"/>
      <c r="C916" s="35"/>
      <c r="D916" s="35"/>
      <c r="E916" s="35"/>
      <c r="F916" s="35"/>
    </row>
    <row r="917">
      <c r="B917" s="35"/>
      <c r="C917" s="35"/>
      <c r="D917" s="35"/>
      <c r="E917" s="35"/>
      <c r="F917" s="35"/>
    </row>
    <row r="918">
      <c r="B918" s="35"/>
      <c r="C918" s="35"/>
      <c r="D918" s="35"/>
      <c r="E918" s="35"/>
      <c r="F918" s="35"/>
    </row>
    <row r="919">
      <c r="B919" s="35"/>
      <c r="C919" s="35"/>
      <c r="D919" s="35"/>
      <c r="E919" s="35"/>
      <c r="F919" s="35"/>
    </row>
    <row r="920">
      <c r="B920" s="35"/>
      <c r="C920" s="35"/>
      <c r="D920" s="35"/>
      <c r="E920" s="35"/>
      <c r="F920" s="35"/>
    </row>
    <row r="921">
      <c r="B921" s="35"/>
      <c r="C921" s="35"/>
      <c r="D921" s="35"/>
      <c r="E921" s="35"/>
      <c r="F921" s="35"/>
    </row>
    <row r="922">
      <c r="B922" s="35"/>
      <c r="C922" s="35"/>
      <c r="D922" s="35"/>
      <c r="E922" s="35"/>
      <c r="F922" s="35"/>
    </row>
    <row r="923">
      <c r="B923" s="35"/>
      <c r="C923" s="35"/>
      <c r="D923" s="35"/>
      <c r="E923" s="35"/>
      <c r="F923" s="35"/>
    </row>
    <row r="924">
      <c r="B924" s="35"/>
      <c r="C924" s="35"/>
      <c r="D924" s="35"/>
      <c r="E924" s="35"/>
      <c r="F924" s="35"/>
    </row>
    <row r="925">
      <c r="B925" s="35"/>
      <c r="C925" s="35"/>
      <c r="D925" s="35"/>
      <c r="E925" s="35"/>
      <c r="F925" s="35"/>
    </row>
    <row r="926">
      <c r="B926" s="35"/>
      <c r="C926" s="35"/>
      <c r="D926" s="35"/>
      <c r="E926" s="35"/>
      <c r="F926" s="35"/>
    </row>
    <row r="927">
      <c r="B927" s="35"/>
      <c r="C927" s="35"/>
      <c r="D927" s="35"/>
      <c r="E927" s="35"/>
      <c r="F927" s="35"/>
    </row>
    <row r="928">
      <c r="B928" s="35"/>
      <c r="C928" s="35"/>
      <c r="D928" s="35"/>
      <c r="E928" s="35"/>
      <c r="F928" s="35"/>
    </row>
    <row r="929">
      <c r="B929" s="35"/>
      <c r="C929" s="35"/>
      <c r="D929" s="35"/>
      <c r="E929" s="35"/>
      <c r="F929" s="35"/>
    </row>
    <row r="930">
      <c r="B930" s="35"/>
      <c r="C930" s="35"/>
      <c r="D930" s="35"/>
      <c r="E930" s="35"/>
      <c r="F930" s="35"/>
    </row>
    <row r="931">
      <c r="B931" s="35"/>
      <c r="C931" s="35"/>
      <c r="D931" s="35"/>
      <c r="E931" s="35"/>
      <c r="F931" s="35"/>
    </row>
    <row r="932">
      <c r="B932" s="35"/>
      <c r="C932" s="35"/>
      <c r="D932" s="35"/>
      <c r="E932" s="35"/>
      <c r="F932" s="35"/>
    </row>
    <row r="933">
      <c r="B933" s="35"/>
      <c r="C933" s="35"/>
      <c r="D933" s="35"/>
      <c r="E933" s="35"/>
      <c r="F933" s="35"/>
    </row>
    <row r="934">
      <c r="B934" s="35"/>
      <c r="C934" s="35"/>
      <c r="D934" s="35"/>
      <c r="E934" s="35"/>
      <c r="F934" s="35"/>
    </row>
    <row r="935">
      <c r="B935" s="35"/>
      <c r="C935" s="35"/>
      <c r="D935" s="35"/>
      <c r="E935" s="35"/>
      <c r="F935" s="35"/>
    </row>
    <row r="936">
      <c r="B936" s="35"/>
      <c r="C936" s="35"/>
      <c r="D936" s="35"/>
      <c r="E936" s="35"/>
      <c r="F936" s="35"/>
    </row>
    <row r="937">
      <c r="B937" s="35"/>
      <c r="C937" s="35"/>
      <c r="D937" s="35"/>
      <c r="E937" s="35"/>
      <c r="F937" s="35"/>
    </row>
    <row r="938">
      <c r="B938" s="35"/>
      <c r="C938" s="35"/>
      <c r="D938" s="35"/>
      <c r="E938" s="35"/>
      <c r="F938" s="35"/>
    </row>
    <row r="939">
      <c r="B939" s="35"/>
      <c r="C939" s="35"/>
      <c r="D939" s="35"/>
      <c r="E939" s="35"/>
      <c r="F939" s="35"/>
    </row>
    <row r="940">
      <c r="B940" s="35"/>
      <c r="C940" s="35"/>
      <c r="D940" s="35"/>
      <c r="E940" s="35"/>
      <c r="F940" s="35"/>
    </row>
    <row r="941">
      <c r="B941" s="35"/>
      <c r="C941" s="35"/>
      <c r="D941" s="35"/>
      <c r="E941" s="35"/>
      <c r="F941" s="35"/>
    </row>
    <row r="942">
      <c r="B942" s="35"/>
      <c r="C942" s="35"/>
      <c r="D942" s="35"/>
      <c r="E942" s="35"/>
      <c r="F942" s="35"/>
    </row>
    <row r="943">
      <c r="B943" s="35"/>
      <c r="C943" s="35"/>
      <c r="D943" s="35"/>
      <c r="E943" s="35"/>
      <c r="F943" s="35"/>
    </row>
    <row r="944">
      <c r="B944" s="35"/>
      <c r="C944" s="35"/>
      <c r="D944" s="35"/>
      <c r="E944" s="35"/>
      <c r="F944" s="35"/>
    </row>
    <row r="945">
      <c r="B945" s="35"/>
      <c r="C945" s="35"/>
      <c r="D945" s="35"/>
      <c r="E945" s="35"/>
      <c r="F945" s="35"/>
    </row>
    <row r="946">
      <c r="B946" s="35"/>
      <c r="C946" s="35"/>
      <c r="D946" s="35"/>
      <c r="E946" s="35"/>
      <c r="F946" s="35"/>
    </row>
    <row r="947">
      <c r="B947" s="35"/>
      <c r="C947" s="35"/>
      <c r="D947" s="35"/>
      <c r="E947" s="35"/>
      <c r="F947" s="35"/>
    </row>
    <row r="948">
      <c r="B948" s="35"/>
      <c r="C948" s="35"/>
      <c r="D948" s="35"/>
      <c r="E948" s="35"/>
      <c r="F948" s="35"/>
    </row>
    <row r="949">
      <c r="B949" s="35"/>
      <c r="C949" s="35"/>
      <c r="D949" s="35"/>
      <c r="E949" s="35"/>
      <c r="F949" s="35"/>
    </row>
    <row r="950">
      <c r="B950" s="35"/>
      <c r="C950" s="35"/>
      <c r="D950" s="35"/>
      <c r="E950" s="35"/>
      <c r="F950" s="35"/>
    </row>
    <row r="951">
      <c r="B951" s="35"/>
      <c r="C951" s="35"/>
      <c r="D951" s="35"/>
      <c r="E951" s="35"/>
      <c r="F951" s="35"/>
    </row>
    <row r="952">
      <c r="B952" s="35"/>
      <c r="C952" s="35"/>
      <c r="D952" s="35"/>
      <c r="E952" s="35"/>
      <c r="F952" s="35"/>
    </row>
    <row r="953">
      <c r="B953" s="35"/>
      <c r="C953" s="35"/>
      <c r="D953" s="35"/>
      <c r="E953" s="35"/>
      <c r="F953" s="35"/>
    </row>
    <row r="954">
      <c r="B954" s="35"/>
      <c r="C954" s="35"/>
      <c r="D954" s="35"/>
      <c r="E954" s="35"/>
      <c r="F954" s="35"/>
    </row>
    <row r="955">
      <c r="B955" s="35"/>
      <c r="C955" s="35"/>
      <c r="D955" s="35"/>
      <c r="E955" s="35"/>
      <c r="F955" s="35"/>
    </row>
    <row r="956">
      <c r="B956" s="35"/>
      <c r="C956" s="35"/>
      <c r="D956" s="35"/>
      <c r="E956" s="35"/>
      <c r="F956" s="35"/>
    </row>
    <row r="957">
      <c r="B957" s="35"/>
      <c r="C957" s="35"/>
      <c r="D957" s="35"/>
      <c r="E957" s="35"/>
      <c r="F957" s="35"/>
    </row>
    <row r="958">
      <c r="B958" s="35"/>
      <c r="C958" s="35"/>
      <c r="D958" s="35"/>
      <c r="E958" s="35"/>
      <c r="F958" s="35"/>
    </row>
    <row r="959">
      <c r="B959" s="35"/>
      <c r="C959" s="35"/>
      <c r="D959" s="35"/>
      <c r="E959" s="35"/>
      <c r="F959" s="35"/>
    </row>
    <row r="960">
      <c r="B960" s="35"/>
      <c r="C960" s="35"/>
      <c r="D960" s="35"/>
      <c r="E960" s="35"/>
      <c r="F960" s="35"/>
    </row>
    <row r="961">
      <c r="B961" s="35"/>
      <c r="C961" s="35"/>
      <c r="D961" s="35"/>
      <c r="E961" s="35"/>
      <c r="F961" s="35"/>
    </row>
    <row r="962">
      <c r="B962" s="35"/>
      <c r="C962" s="35"/>
      <c r="D962" s="35"/>
      <c r="E962" s="35"/>
      <c r="F962" s="35"/>
    </row>
    <row r="963">
      <c r="B963" s="35"/>
      <c r="C963" s="35"/>
      <c r="D963" s="35"/>
      <c r="E963" s="35"/>
      <c r="F963" s="35"/>
    </row>
    <row r="964">
      <c r="B964" s="35"/>
      <c r="C964" s="35"/>
      <c r="D964" s="35"/>
      <c r="E964" s="35"/>
      <c r="F964" s="35"/>
    </row>
    <row r="965">
      <c r="B965" s="35"/>
      <c r="C965" s="35"/>
      <c r="D965" s="35"/>
      <c r="E965" s="35"/>
      <c r="F965" s="35"/>
    </row>
    <row r="966">
      <c r="B966" s="35"/>
      <c r="C966" s="35"/>
      <c r="D966" s="35"/>
      <c r="E966" s="35"/>
      <c r="F966" s="35"/>
    </row>
    <row r="967">
      <c r="B967" s="35"/>
      <c r="C967" s="35"/>
      <c r="D967" s="35"/>
      <c r="E967" s="35"/>
      <c r="F967" s="35"/>
    </row>
    <row r="968">
      <c r="B968" s="35"/>
      <c r="C968" s="35"/>
      <c r="D968" s="35"/>
      <c r="E968" s="35"/>
      <c r="F968" s="35"/>
    </row>
    <row r="969">
      <c r="B969" s="35"/>
      <c r="C969" s="35"/>
      <c r="D969" s="35"/>
      <c r="E969" s="35"/>
      <c r="F969" s="35"/>
    </row>
    <row r="970">
      <c r="B970" s="35"/>
      <c r="C970" s="35"/>
      <c r="D970" s="35"/>
      <c r="E970" s="35"/>
      <c r="F970" s="35"/>
    </row>
    <row r="971">
      <c r="B971" s="35"/>
      <c r="C971" s="35"/>
      <c r="D971" s="35"/>
      <c r="E971" s="35"/>
      <c r="F971" s="35"/>
    </row>
    <row r="972">
      <c r="B972" s="35"/>
      <c r="C972" s="35"/>
      <c r="D972" s="35"/>
      <c r="E972" s="35"/>
      <c r="F972" s="35"/>
    </row>
    <row r="973">
      <c r="B973" s="35"/>
      <c r="C973" s="35"/>
      <c r="D973" s="35"/>
      <c r="E973" s="35"/>
      <c r="F973" s="35"/>
    </row>
    <row r="974">
      <c r="B974" s="35"/>
      <c r="C974" s="35"/>
      <c r="D974" s="35"/>
      <c r="E974" s="35"/>
      <c r="F974" s="35"/>
    </row>
    <row r="975">
      <c r="B975" s="35"/>
      <c r="C975" s="35"/>
      <c r="D975" s="35"/>
      <c r="E975" s="35"/>
      <c r="F975" s="35"/>
    </row>
    <row r="976">
      <c r="B976" s="35"/>
      <c r="C976" s="35"/>
      <c r="D976" s="35"/>
      <c r="E976" s="35"/>
      <c r="F976" s="35"/>
    </row>
    <row r="977">
      <c r="B977" s="35"/>
      <c r="C977" s="35"/>
      <c r="D977" s="35"/>
      <c r="E977" s="35"/>
      <c r="F977" s="35"/>
    </row>
    <row r="978">
      <c r="B978" s="35"/>
      <c r="C978" s="35"/>
      <c r="D978" s="35"/>
      <c r="E978" s="35"/>
      <c r="F978" s="35"/>
    </row>
    <row r="979">
      <c r="B979" s="35"/>
      <c r="C979" s="35"/>
      <c r="D979" s="35"/>
      <c r="E979" s="35"/>
      <c r="F979" s="35"/>
    </row>
    <row r="980">
      <c r="B980" s="35"/>
      <c r="C980" s="35"/>
      <c r="D980" s="35"/>
      <c r="E980" s="35"/>
      <c r="F980" s="35"/>
    </row>
    <row r="981">
      <c r="B981" s="35"/>
      <c r="C981" s="35"/>
      <c r="D981" s="35"/>
      <c r="E981" s="35"/>
      <c r="F981" s="35"/>
    </row>
    <row r="982">
      <c r="B982" s="35"/>
      <c r="C982" s="35"/>
      <c r="D982" s="35"/>
      <c r="E982" s="35"/>
      <c r="F982" s="35"/>
    </row>
    <row r="983">
      <c r="B983" s="35"/>
      <c r="C983" s="35"/>
      <c r="D983" s="35"/>
      <c r="E983" s="35"/>
      <c r="F983" s="35"/>
    </row>
    <row r="984">
      <c r="B984" s="35"/>
      <c r="C984" s="35"/>
      <c r="D984" s="35"/>
      <c r="E984" s="35"/>
      <c r="F984" s="35"/>
    </row>
    <row r="985">
      <c r="B985" s="35"/>
      <c r="C985" s="35"/>
      <c r="D985" s="35"/>
      <c r="E985" s="35"/>
      <c r="F985" s="35"/>
    </row>
    <row r="986">
      <c r="B986" s="35"/>
      <c r="C986" s="35"/>
      <c r="D986" s="35"/>
      <c r="E986" s="35"/>
      <c r="F986" s="35"/>
    </row>
    <row r="987">
      <c r="B987" s="35"/>
      <c r="C987" s="35"/>
      <c r="D987" s="35"/>
      <c r="E987" s="35"/>
      <c r="F987" s="35"/>
    </row>
    <row r="988">
      <c r="B988" s="35"/>
      <c r="C988" s="35"/>
      <c r="D988" s="35"/>
      <c r="E988" s="35"/>
      <c r="F988" s="35"/>
    </row>
    <row r="989">
      <c r="B989" s="35"/>
      <c r="C989" s="35"/>
      <c r="D989" s="35"/>
      <c r="E989" s="35"/>
      <c r="F989" s="35"/>
    </row>
    <row r="990">
      <c r="B990" s="35"/>
      <c r="C990" s="35"/>
      <c r="D990" s="35"/>
      <c r="E990" s="35"/>
      <c r="F990" s="35"/>
    </row>
    <row r="991">
      <c r="B991" s="35"/>
      <c r="C991" s="35"/>
      <c r="D991" s="35"/>
      <c r="E991" s="35"/>
      <c r="F991" s="35"/>
    </row>
    <row r="992">
      <c r="B992" s="35"/>
      <c r="C992" s="35"/>
      <c r="D992" s="35"/>
      <c r="E992" s="35"/>
      <c r="F992" s="35"/>
    </row>
    <row r="993">
      <c r="B993" s="35"/>
      <c r="C993" s="35"/>
      <c r="D993" s="35"/>
      <c r="E993" s="35"/>
      <c r="F993" s="35"/>
    </row>
    <row r="994">
      <c r="B994" s="35"/>
      <c r="C994" s="35"/>
      <c r="D994" s="35"/>
      <c r="E994" s="35"/>
      <c r="F994" s="35"/>
    </row>
    <row r="995">
      <c r="B995" s="35"/>
      <c r="C995" s="35"/>
      <c r="D995" s="35"/>
      <c r="E995" s="35"/>
      <c r="F995" s="35"/>
    </row>
    <row r="996">
      <c r="B996" s="35"/>
      <c r="C996" s="35"/>
      <c r="D996" s="35"/>
      <c r="E996" s="35"/>
      <c r="F996" s="35"/>
    </row>
    <row r="997">
      <c r="B997" s="35"/>
      <c r="C997" s="35"/>
      <c r="D997" s="35"/>
      <c r="E997" s="35"/>
      <c r="F997" s="35"/>
    </row>
    <row r="998">
      <c r="B998" s="35"/>
      <c r="C998" s="35"/>
      <c r="D998" s="35"/>
      <c r="E998" s="35"/>
      <c r="F998" s="35"/>
    </row>
    <row r="999">
      <c r="B999" s="35"/>
      <c r="C999" s="35"/>
      <c r="D999" s="35"/>
      <c r="E999" s="35"/>
      <c r="F999" s="35"/>
    </row>
    <row r="1000">
      <c r="B1000" s="35"/>
      <c r="C1000" s="35"/>
      <c r="D1000" s="35"/>
      <c r="E1000" s="35"/>
      <c r="F1000" s="35"/>
    </row>
    <row r="1001">
      <c r="B1001" s="35"/>
      <c r="C1001" s="35"/>
      <c r="D1001" s="35"/>
      <c r="E1001" s="35"/>
      <c r="F1001" s="35"/>
    </row>
    <row r="1002">
      <c r="B1002" s="35"/>
      <c r="C1002" s="35"/>
      <c r="D1002" s="35"/>
      <c r="E1002" s="35"/>
      <c r="F1002" s="35"/>
    </row>
    <row r="1003">
      <c r="B1003" s="35"/>
      <c r="C1003" s="35"/>
      <c r="D1003" s="35"/>
      <c r="E1003" s="35"/>
      <c r="F1003" s="35"/>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7.13"/>
    <col customWidth="1" min="2" max="3" width="25.38"/>
  </cols>
  <sheetData>
    <row r="1" ht="22.5" customHeight="1">
      <c r="A1" s="1" t="s">
        <v>287</v>
      </c>
      <c r="B1" s="2" t="s">
        <v>156</v>
      </c>
      <c r="C1" s="1" t="s">
        <v>154</v>
      </c>
    </row>
    <row r="2" ht="22.5" customHeight="1">
      <c r="A2" s="36" t="s">
        <v>288</v>
      </c>
      <c r="B2" s="37" t="s">
        <v>289</v>
      </c>
      <c r="C2" s="5" t="s">
        <v>160</v>
      </c>
    </row>
    <row r="3" ht="22.5" customHeight="1">
      <c r="A3" s="36" t="s">
        <v>290</v>
      </c>
      <c r="B3" s="37" t="s">
        <v>289</v>
      </c>
      <c r="C3" s="5" t="s">
        <v>160</v>
      </c>
    </row>
    <row r="4" ht="22.5" customHeight="1">
      <c r="A4" s="36" t="s">
        <v>291</v>
      </c>
      <c r="B4" s="37" t="s">
        <v>289</v>
      </c>
      <c r="C4" s="5" t="s">
        <v>160</v>
      </c>
    </row>
    <row r="5" ht="22.5" customHeight="1">
      <c r="A5" s="36" t="s">
        <v>292</v>
      </c>
      <c r="B5" s="37" t="s">
        <v>289</v>
      </c>
      <c r="C5" s="5" t="s">
        <v>160</v>
      </c>
    </row>
    <row r="6" ht="22.5" customHeight="1">
      <c r="A6" s="36" t="s">
        <v>293</v>
      </c>
      <c r="B6" s="37" t="s">
        <v>289</v>
      </c>
      <c r="C6" s="5" t="s">
        <v>160</v>
      </c>
    </row>
    <row r="7" ht="22.5" customHeight="1">
      <c r="A7" s="36" t="s">
        <v>294</v>
      </c>
      <c r="B7" s="37" t="s">
        <v>289</v>
      </c>
      <c r="C7" s="5" t="s">
        <v>160</v>
      </c>
    </row>
    <row r="8" ht="22.5" customHeight="1">
      <c r="A8" s="36" t="s">
        <v>295</v>
      </c>
      <c r="B8" s="37" t="s">
        <v>289</v>
      </c>
      <c r="C8" s="5" t="s">
        <v>160</v>
      </c>
    </row>
    <row r="9" ht="22.5" customHeight="1">
      <c r="A9" s="36" t="s">
        <v>296</v>
      </c>
      <c r="B9" s="37" t="s">
        <v>289</v>
      </c>
      <c r="C9" s="5" t="s">
        <v>160</v>
      </c>
    </row>
    <row r="10" ht="22.5" customHeight="1">
      <c r="A10" s="36" t="s">
        <v>297</v>
      </c>
      <c r="B10" s="37" t="s">
        <v>289</v>
      </c>
      <c r="C10" s="5" t="s">
        <v>160</v>
      </c>
    </row>
    <row r="11" ht="22.5" customHeight="1">
      <c r="A11" s="36" t="s">
        <v>298</v>
      </c>
      <c r="B11" s="37" t="s">
        <v>289</v>
      </c>
      <c r="C11" s="5" t="s">
        <v>160</v>
      </c>
    </row>
    <row r="12" ht="22.5" customHeight="1">
      <c r="A12" s="36" t="s">
        <v>299</v>
      </c>
      <c r="B12" s="37" t="s">
        <v>289</v>
      </c>
      <c r="C12" s="5" t="s">
        <v>160</v>
      </c>
    </row>
    <row r="13" ht="22.5" customHeight="1">
      <c r="A13" s="36" t="s">
        <v>300</v>
      </c>
      <c r="B13" s="37" t="s">
        <v>289</v>
      </c>
      <c r="C13" s="5" t="s">
        <v>160</v>
      </c>
    </row>
    <row r="14" ht="22.5" customHeight="1">
      <c r="A14" s="36" t="s">
        <v>301</v>
      </c>
      <c r="B14" s="37" t="s">
        <v>289</v>
      </c>
      <c r="C14" s="5" t="s">
        <v>160</v>
      </c>
    </row>
    <row r="15" ht="22.5" customHeight="1">
      <c r="A15" s="36" t="s">
        <v>302</v>
      </c>
      <c r="B15" s="37" t="s">
        <v>289</v>
      </c>
      <c r="C15" s="5" t="s">
        <v>160</v>
      </c>
    </row>
    <row r="16" ht="22.5" customHeight="1">
      <c r="A16" s="36" t="s">
        <v>303</v>
      </c>
      <c r="B16" s="37" t="s">
        <v>304</v>
      </c>
      <c r="C16" s="5" t="s">
        <v>160</v>
      </c>
    </row>
    <row r="17" ht="22.5" customHeight="1">
      <c r="A17" s="5" t="s">
        <v>305</v>
      </c>
      <c r="B17" s="37" t="s">
        <v>304</v>
      </c>
      <c r="C17" s="5" t="s">
        <v>160</v>
      </c>
    </row>
    <row r="18" ht="22.5" customHeight="1">
      <c r="A18" s="5" t="s">
        <v>306</v>
      </c>
      <c r="B18" s="37" t="s">
        <v>304</v>
      </c>
      <c r="C18" s="5" t="s">
        <v>160</v>
      </c>
    </row>
    <row r="19" ht="22.5" customHeight="1">
      <c r="A19" s="5" t="s">
        <v>307</v>
      </c>
      <c r="B19" s="37" t="s">
        <v>304</v>
      </c>
      <c r="C19" s="5" t="s">
        <v>160</v>
      </c>
    </row>
    <row r="20" ht="22.5" customHeight="1">
      <c r="A20" s="5" t="s">
        <v>308</v>
      </c>
      <c r="B20" s="37" t="s">
        <v>304</v>
      </c>
      <c r="C20" s="5" t="s">
        <v>160</v>
      </c>
    </row>
    <row r="21" ht="22.5" customHeight="1">
      <c r="A21" s="5" t="s">
        <v>309</v>
      </c>
      <c r="B21" s="37" t="s">
        <v>304</v>
      </c>
      <c r="C21" s="5" t="s">
        <v>160</v>
      </c>
    </row>
    <row r="22" ht="22.5" customHeight="1">
      <c r="A22" s="5" t="s">
        <v>310</v>
      </c>
      <c r="B22" s="37" t="s">
        <v>304</v>
      </c>
      <c r="C22" s="5" t="s">
        <v>172</v>
      </c>
    </row>
    <row r="23" ht="22.5" customHeight="1">
      <c r="A23" s="5" t="s">
        <v>311</v>
      </c>
      <c r="B23" s="37" t="s">
        <v>304</v>
      </c>
      <c r="C23" s="5" t="s">
        <v>172</v>
      </c>
    </row>
    <row r="24" ht="22.5" customHeight="1">
      <c r="A24" s="5" t="s">
        <v>312</v>
      </c>
      <c r="B24" s="37" t="s">
        <v>304</v>
      </c>
      <c r="C24" s="5" t="s">
        <v>172</v>
      </c>
    </row>
    <row r="25" ht="22.5" customHeight="1">
      <c r="A25" s="5" t="s">
        <v>313</v>
      </c>
      <c r="B25" s="37" t="s">
        <v>304</v>
      </c>
      <c r="C25" s="5" t="s">
        <v>172</v>
      </c>
    </row>
    <row r="26" ht="22.5" customHeight="1">
      <c r="A26" s="5" t="s">
        <v>314</v>
      </c>
      <c r="B26" s="37" t="s">
        <v>304</v>
      </c>
      <c r="C26" s="5" t="s">
        <v>172</v>
      </c>
    </row>
    <row r="27" ht="22.5" customHeight="1">
      <c r="A27" s="5" t="s">
        <v>315</v>
      </c>
      <c r="B27" s="37" t="s">
        <v>304</v>
      </c>
      <c r="C27" s="5" t="s">
        <v>172</v>
      </c>
    </row>
    <row r="28" ht="22.5" customHeight="1">
      <c r="A28" s="5" t="s">
        <v>316</v>
      </c>
      <c r="B28" s="37" t="s">
        <v>304</v>
      </c>
      <c r="C28" s="5" t="s">
        <v>172</v>
      </c>
    </row>
    <row r="29" ht="22.5" customHeight="1">
      <c r="A29" s="5" t="s">
        <v>317</v>
      </c>
      <c r="B29" s="37" t="s">
        <v>304</v>
      </c>
      <c r="C29" s="5" t="s">
        <v>172</v>
      </c>
    </row>
    <row r="30" ht="22.5" customHeight="1">
      <c r="A30" s="5" t="s">
        <v>318</v>
      </c>
      <c r="B30" s="37" t="s">
        <v>304</v>
      </c>
      <c r="C30" s="5" t="s">
        <v>319</v>
      </c>
    </row>
    <row r="31" ht="22.5" customHeight="1">
      <c r="A31" s="5" t="s">
        <v>320</v>
      </c>
      <c r="B31" s="37" t="s">
        <v>304</v>
      </c>
      <c r="C31" s="5" t="s">
        <v>319</v>
      </c>
    </row>
    <row r="32" ht="22.5" customHeight="1">
      <c r="A32" s="5" t="s">
        <v>321</v>
      </c>
      <c r="B32" s="37" t="s">
        <v>304</v>
      </c>
      <c r="C32" s="5" t="s">
        <v>319</v>
      </c>
    </row>
    <row r="33" ht="22.5" customHeight="1">
      <c r="A33" s="5" t="s">
        <v>322</v>
      </c>
      <c r="B33" s="37" t="s">
        <v>304</v>
      </c>
      <c r="C33" s="5" t="s">
        <v>319</v>
      </c>
    </row>
    <row r="34" ht="22.5" customHeight="1">
      <c r="A34" s="5" t="s">
        <v>323</v>
      </c>
      <c r="B34" s="37" t="s">
        <v>304</v>
      </c>
      <c r="C34" s="5" t="s">
        <v>319</v>
      </c>
    </row>
    <row r="35" ht="22.5" customHeight="1">
      <c r="A35" s="5" t="s">
        <v>324</v>
      </c>
      <c r="B35" s="37" t="s">
        <v>304</v>
      </c>
      <c r="C35" s="5" t="s">
        <v>273</v>
      </c>
    </row>
    <row r="36" ht="22.5" customHeight="1">
      <c r="A36" s="5" t="s">
        <v>325</v>
      </c>
      <c r="B36" s="37" t="s">
        <v>304</v>
      </c>
      <c r="C36" s="5" t="s">
        <v>273</v>
      </c>
    </row>
    <row r="37" ht="22.5" customHeight="1">
      <c r="A37" s="5" t="s">
        <v>326</v>
      </c>
      <c r="B37" s="37" t="s">
        <v>304</v>
      </c>
      <c r="C37" s="5" t="s">
        <v>273</v>
      </c>
    </row>
    <row r="38" ht="22.5" customHeight="1">
      <c r="A38" s="5" t="s">
        <v>327</v>
      </c>
      <c r="B38" s="37" t="s">
        <v>304</v>
      </c>
      <c r="C38" s="5" t="s">
        <v>273</v>
      </c>
    </row>
    <row r="39" ht="22.5" customHeight="1">
      <c r="A39" s="5" t="s">
        <v>328</v>
      </c>
      <c r="B39" s="37" t="s">
        <v>304</v>
      </c>
      <c r="C39" s="5" t="s">
        <v>273</v>
      </c>
    </row>
    <row r="40" ht="22.5" customHeight="1">
      <c r="A40" s="5" t="s">
        <v>329</v>
      </c>
      <c r="B40" s="37" t="s">
        <v>304</v>
      </c>
      <c r="C40" s="5" t="s">
        <v>330</v>
      </c>
    </row>
    <row r="41" ht="22.5" customHeight="1">
      <c r="A41" s="5" t="s">
        <v>331</v>
      </c>
      <c r="B41" s="37" t="s">
        <v>304</v>
      </c>
      <c r="C41" s="5" t="s">
        <v>330</v>
      </c>
    </row>
    <row r="42" ht="22.5" customHeight="1">
      <c r="A42" s="5" t="s">
        <v>332</v>
      </c>
      <c r="B42" s="37" t="s">
        <v>304</v>
      </c>
      <c r="C42" s="5" t="s">
        <v>330</v>
      </c>
    </row>
    <row r="43" ht="22.5" customHeight="1">
      <c r="A43" s="5" t="s">
        <v>333</v>
      </c>
      <c r="B43" s="37" t="s">
        <v>304</v>
      </c>
      <c r="C43" s="5" t="s">
        <v>330</v>
      </c>
    </row>
    <row r="44" ht="22.5" customHeight="1">
      <c r="A44" s="20" t="s">
        <v>312</v>
      </c>
      <c r="B44" s="38" t="s">
        <v>334</v>
      </c>
      <c r="C44" s="20" t="s">
        <v>172</v>
      </c>
    </row>
    <row r="45" ht="22.5" customHeight="1">
      <c r="A45" s="20" t="s">
        <v>335</v>
      </c>
      <c r="B45" s="38" t="s">
        <v>334</v>
      </c>
      <c r="C45" s="20" t="s">
        <v>172</v>
      </c>
    </row>
    <row r="46" ht="22.5" customHeight="1">
      <c r="A46" s="20" t="s">
        <v>311</v>
      </c>
      <c r="B46" s="38" t="s">
        <v>334</v>
      </c>
      <c r="C46" s="20" t="s">
        <v>172</v>
      </c>
    </row>
    <row r="47" ht="22.5" customHeight="1">
      <c r="A47" s="20" t="s">
        <v>336</v>
      </c>
      <c r="B47" s="38" t="s">
        <v>334</v>
      </c>
      <c r="C47" s="20" t="s">
        <v>172</v>
      </c>
    </row>
    <row r="48" ht="22.5" customHeight="1">
      <c r="A48" s="20" t="s">
        <v>337</v>
      </c>
      <c r="B48" s="38" t="s">
        <v>334</v>
      </c>
      <c r="C48" s="20" t="s">
        <v>172</v>
      </c>
    </row>
    <row r="49" ht="22.5" customHeight="1">
      <c r="A49" s="20" t="s">
        <v>338</v>
      </c>
      <c r="B49" s="38" t="s">
        <v>334</v>
      </c>
      <c r="C49" s="20" t="s">
        <v>172</v>
      </c>
    </row>
    <row r="50" ht="22.5" customHeight="1">
      <c r="A50" s="20" t="s">
        <v>315</v>
      </c>
      <c r="B50" s="38" t="s">
        <v>334</v>
      </c>
      <c r="C50" s="20" t="s">
        <v>172</v>
      </c>
    </row>
    <row r="51" ht="22.5" customHeight="1">
      <c r="A51" s="20" t="s">
        <v>316</v>
      </c>
      <c r="B51" s="38" t="s">
        <v>334</v>
      </c>
      <c r="C51" s="20" t="s">
        <v>172</v>
      </c>
    </row>
    <row r="52" ht="22.5" customHeight="1">
      <c r="A52" s="20" t="s">
        <v>314</v>
      </c>
      <c r="B52" s="38" t="s">
        <v>334</v>
      </c>
      <c r="C52" s="20" t="s">
        <v>339</v>
      </c>
    </row>
    <row r="53" ht="22.5" customHeight="1">
      <c r="A53" s="20" t="s">
        <v>313</v>
      </c>
      <c r="B53" s="38" t="s">
        <v>334</v>
      </c>
      <c r="C53" s="20" t="s">
        <v>339</v>
      </c>
    </row>
    <row r="54" ht="22.5" customHeight="1">
      <c r="A54" s="20" t="s">
        <v>340</v>
      </c>
      <c r="B54" s="38" t="s">
        <v>334</v>
      </c>
      <c r="C54" s="20" t="s">
        <v>339</v>
      </c>
    </row>
    <row r="55" ht="22.5" customHeight="1">
      <c r="A55" s="20" t="s">
        <v>341</v>
      </c>
      <c r="B55" s="38" t="s">
        <v>334</v>
      </c>
      <c r="C55" s="20" t="s">
        <v>339</v>
      </c>
    </row>
    <row r="56" ht="22.5" customHeight="1">
      <c r="A56" s="20" t="s">
        <v>342</v>
      </c>
      <c r="B56" s="38" t="s">
        <v>334</v>
      </c>
      <c r="C56" s="20" t="s">
        <v>339</v>
      </c>
    </row>
    <row r="57" ht="22.5" customHeight="1">
      <c r="A57" s="20" t="s">
        <v>343</v>
      </c>
      <c r="B57" s="38" t="s">
        <v>334</v>
      </c>
      <c r="C57" s="20" t="s">
        <v>339</v>
      </c>
    </row>
    <row r="58" ht="22.5" customHeight="1">
      <c r="A58" s="20" t="s">
        <v>344</v>
      </c>
      <c r="B58" s="38" t="s">
        <v>334</v>
      </c>
      <c r="C58" s="20" t="s">
        <v>339</v>
      </c>
    </row>
    <row r="59" ht="22.5" customHeight="1">
      <c r="A59" s="20" t="s">
        <v>345</v>
      </c>
      <c r="B59" s="38" t="s">
        <v>334</v>
      </c>
      <c r="C59" s="20" t="s">
        <v>339</v>
      </c>
    </row>
    <row r="60" ht="22.5" customHeight="1">
      <c r="A60" s="5" t="s">
        <v>346</v>
      </c>
      <c r="B60" s="38" t="s">
        <v>334</v>
      </c>
      <c r="C60" s="20" t="s">
        <v>330</v>
      </c>
    </row>
    <row r="61" ht="22.5" customHeight="1">
      <c r="A61" s="5" t="s">
        <v>347</v>
      </c>
      <c r="B61" s="38" t="s">
        <v>334</v>
      </c>
      <c r="C61" s="20" t="s">
        <v>330</v>
      </c>
    </row>
    <row r="62" ht="22.5" customHeight="1">
      <c r="A62" s="5" t="s">
        <v>348</v>
      </c>
      <c r="B62" s="38" t="s">
        <v>334</v>
      </c>
      <c r="C62" s="20" t="s">
        <v>330</v>
      </c>
    </row>
    <row r="63" ht="22.5" customHeight="1">
      <c r="A63" s="20" t="s">
        <v>349</v>
      </c>
      <c r="B63" s="38" t="s">
        <v>334</v>
      </c>
      <c r="C63" s="20" t="s">
        <v>160</v>
      </c>
    </row>
    <row r="64" ht="22.5" customHeight="1">
      <c r="A64" s="5" t="s">
        <v>350</v>
      </c>
      <c r="B64" s="38" t="s">
        <v>334</v>
      </c>
      <c r="C64" s="20" t="s">
        <v>160</v>
      </c>
    </row>
    <row r="65" ht="22.5" customHeight="1">
      <c r="A65" s="5" t="s">
        <v>351</v>
      </c>
      <c r="B65" s="38" t="s">
        <v>334</v>
      </c>
      <c r="C65" s="20" t="s">
        <v>160</v>
      </c>
    </row>
    <row r="66" ht="22.5" customHeight="1">
      <c r="A66" s="5" t="s">
        <v>352</v>
      </c>
      <c r="B66" s="38" t="s">
        <v>334</v>
      </c>
      <c r="C66" s="20" t="s">
        <v>160</v>
      </c>
    </row>
    <row r="67" ht="22.5" customHeight="1">
      <c r="A67" s="5" t="s">
        <v>353</v>
      </c>
      <c r="B67" s="38" t="s">
        <v>334</v>
      </c>
      <c r="C67" s="20" t="s">
        <v>160</v>
      </c>
    </row>
    <row r="68" ht="22.5" customHeight="1">
      <c r="A68" s="5" t="s">
        <v>354</v>
      </c>
      <c r="B68" s="38" t="s">
        <v>334</v>
      </c>
      <c r="C68" s="20" t="s">
        <v>355</v>
      </c>
    </row>
    <row r="69" ht="22.5" customHeight="1">
      <c r="A69" s="5" t="s">
        <v>308</v>
      </c>
      <c r="B69" s="38" t="s">
        <v>334</v>
      </c>
      <c r="C69" s="20" t="s">
        <v>355</v>
      </c>
    </row>
    <row r="70" ht="22.5" customHeight="1">
      <c r="A70" s="5" t="s">
        <v>356</v>
      </c>
      <c r="B70" s="38" t="s">
        <v>334</v>
      </c>
      <c r="C70" s="20" t="s">
        <v>355</v>
      </c>
    </row>
    <row r="71" ht="22.5" customHeight="1">
      <c r="A71" s="5" t="s">
        <v>357</v>
      </c>
      <c r="B71" s="38" t="s">
        <v>334</v>
      </c>
      <c r="C71" s="20" t="s">
        <v>355</v>
      </c>
    </row>
    <row r="72" ht="22.5" customHeight="1">
      <c r="A72" s="5" t="s">
        <v>358</v>
      </c>
      <c r="B72" s="38" t="s">
        <v>334</v>
      </c>
      <c r="C72" s="20" t="s">
        <v>355</v>
      </c>
    </row>
    <row r="73" ht="22.5" customHeight="1">
      <c r="A73" s="5" t="s">
        <v>359</v>
      </c>
      <c r="B73" s="38" t="s">
        <v>334</v>
      </c>
      <c r="C73" s="20" t="s">
        <v>355</v>
      </c>
    </row>
    <row r="74" ht="22.5" customHeight="1">
      <c r="A74" s="5" t="s">
        <v>360</v>
      </c>
      <c r="B74" s="38" t="s">
        <v>334</v>
      </c>
      <c r="C74" s="20" t="s">
        <v>355</v>
      </c>
    </row>
    <row r="75" ht="22.5" customHeight="1">
      <c r="A75" s="5" t="s">
        <v>361</v>
      </c>
      <c r="B75" s="38" t="s">
        <v>334</v>
      </c>
      <c r="C75" s="20" t="s">
        <v>355</v>
      </c>
    </row>
    <row r="76" ht="22.5" customHeight="1">
      <c r="A76" s="5" t="s">
        <v>362</v>
      </c>
      <c r="B76" s="38" t="s">
        <v>334</v>
      </c>
      <c r="C76" s="20" t="s">
        <v>355</v>
      </c>
    </row>
    <row r="77" ht="22.5" customHeight="1">
      <c r="A77" s="5" t="s">
        <v>303</v>
      </c>
      <c r="B77" s="38" t="s">
        <v>334</v>
      </c>
      <c r="C77" s="20" t="s">
        <v>355</v>
      </c>
    </row>
    <row r="78" ht="22.5" customHeight="1">
      <c r="A78" s="5" t="s">
        <v>363</v>
      </c>
      <c r="B78" s="38" t="s">
        <v>334</v>
      </c>
      <c r="C78" s="20" t="s">
        <v>355</v>
      </c>
    </row>
    <row r="79" ht="22.5" customHeight="1">
      <c r="A79" s="20" t="s">
        <v>364</v>
      </c>
      <c r="B79" s="38" t="s">
        <v>334</v>
      </c>
      <c r="C79" s="20" t="s">
        <v>273</v>
      </c>
    </row>
    <row r="80" ht="22.5" customHeight="1">
      <c r="A80" s="5" t="s">
        <v>365</v>
      </c>
      <c r="B80" s="38" t="s">
        <v>334</v>
      </c>
      <c r="C80" s="20" t="s">
        <v>273</v>
      </c>
    </row>
    <row r="81" ht="22.5" customHeight="1">
      <c r="A81" s="5" t="s">
        <v>366</v>
      </c>
      <c r="B81" s="38" t="s">
        <v>334</v>
      </c>
      <c r="C81" s="20" t="s">
        <v>273</v>
      </c>
    </row>
    <row r="82" ht="22.5" customHeight="1">
      <c r="A82" s="5" t="s">
        <v>367</v>
      </c>
      <c r="B82" s="38" t="s">
        <v>334</v>
      </c>
      <c r="C82" s="20" t="s">
        <v>273</v>
      </c>
    </row>
    <row r="83" ht="22.5" customHeight="1">
      <c r="A83" s="5" t="s">
        <v>368</v>
      </c>
      <c r="B83" s="38" t="s">
        <v>334</v>
      </c>
      <c r="C83" s="20" t="s">
        <v>273</v>
      </c>
    </row>
    <row r="84" ht="22.5" customHeight="1">
      <c r="A84" s="5" t="s">
        <v>369</v>
      </c>
      <c r="B84" s="38" t="s">
        <v>334</v>
      </c>
      <c r="C84" s="20" t="s">
        <v>273</v>
      </c>
    </row>
    <row r="85" ht="22.5" customHeight="1">
      <c r="A85" s="5" t="s">
        <v>370</v>
      </c>
      <c r="B85" s="38" t="s">
        <v>334</v>
      </c>
      <c r="C85" s="20" t="s">
        <v>273</v>
      </c>
    </row>
    <row r="86" ht="22.5" customHeight="1">
      <c r="A86" s="5" t="s">
        <v>371</v>
      </c>
      <c r="B86" s="38" t="s">
        <v>334</v>
      </c>
      <c r="C86" s="20" t="s">
        <v>273</v>
      </c>
    </row>
    <row r="87" ht="22.5" customHeight="1">
      <c r="A87" s="5" t="s">
        <v>372</v>
      </c>
      <c r="B87" s="38" t="s">
        <v>334</v>
      </c>
      <c r="C87" s="20" t="s">
        <v>273</v>
      </c>
    </row>
    <row r="88" ht="22.5" customHeight="1">
      <c r="A88" s="5" t="s">
        <v>373</v>
      </c>
      <c r="B88" s="38" t="s">
        <v>334</v>
      </c>
      <c r="C88" s="20" t="s">
        <v>273</v>
      </c>
    </row>
    <row r="89" ht="22.5" customHeight="1">
      <c r="A89" s="5" t="s">
        <v>374</v>
      </c>
      <c r="B89" s="38" t="s">
        <v>334</v>
      </c>
      <c r="C89" s="20" t="s">
        <v>375</v>
      </c>
    </row>
    <row r="90" ht="22.5" customHeight="1">
      <c r="A90" s="5" t="s">
        <v>376</v>
      </c>
      <c r="B90" s="38" t="s">
        <v>334</v>
      </c>
      <c r="C90" s="20" t="s">
        <v>375</v>
      </c>
    </row>
    <row r="91" ht="22.5" customHeight="1">
      <c r="A91" s="5" t="s">
        <v>377</v>
      </c>
      <c r="B91" s="38" t="s">
        <v>334</v>
      </c>
      <c r="C91" s="20" t="s">
        <v>319</v>
      </c>
    </row>
    <row r="92" ht="22.5" customHeight="1">
      <c r="A92" s="5" t="s">
        <v>378</v>
      </c>
      <c r="B92" s="38" t="s">
        <v>334</v>
      </c>
      <c r="C92" s="20" t="s">
        <v>319</v>
      </c>
    </row>
    <row r="93" ht="22.5" customHeight="1">
      <c r="A93" s="5" t="s">
        <v>379</v>
      </c>
      <c r="B93" s="38" t="s">
        <v>334</v>
      </c>
      <c r="C93" s="20" t="s">
        <v>319</v>
      </c>
    </row>
    <row r="94" ht="22.5" customHeight="1">
      <c r="A94" s="5" t="s">
        <v>380</v>
      </c>
      <c r="B94" s="38" t="s">
        <v>334</v>
      </c>
      <c r="C94" s="20" t="s">
        <v>319</v>
      </c>
    </row>
    <row r="95" ht="22.5" customHeight="1">
      <c r="A95" s="5" t="s">
        <v>381</v>
      </c>
      <c r="B95" s="38" t="s">
        <v>334</v>
      </c>
      <c r="C95" s="20" t="s">
        <v>319</v>
      </c>
    </row>
    <row r="96" ht="22.5" customHeight="1">
      <c r="A96" s="5" t="s">
        <v>382</v>
      </c>
      <c r="B96" s="38" t="s">
        <v>334</v>
      </c>
      <c r="C96" s="20" t="s">
        <v>319</v>
      </c>
    </row>
    <row r="97" ht="22.5" customHeight="1">
      <c r="A97" s="5" t="s">
        <v>318</v>
      </c>
      <c r="B97" s="38" t="s">
        <v>334</v>
      </c>
      <c r="C97" s="20" t="s">
        <v>319</v>
      </c>
    </row>
    <row r="98" ht="22.5" customHeight="1">
      <c r="A98" s="5" t="s">
        <v>383</v>
      </c>
      <c r="B98" s="38" t="s">
        <v>334</v>
      </c>
      <c r="C98" s="20" t="s">
        <v>384</v>
      </c>
    </row>
    <row r="99" ht="22.5" customHeight="1">
      <c r="A99" s="20" t="s">
        <v>385</v>
      </c>
      <c r="B99" s="38" t="s">
        <v>334</v>
      </c>
      <c r="C99" s="20" t="s">
        <v>384</v>
      </c>
    </row>
    <row r="100" ht="22.5" customHeight="1">
      <c r="A100" s="5" t="s">
        <v>386</v>
      </c>
      <c r="B100" s="38" t="s">
        <v>334</v>
      </c>
      <c r="C100" s="20" t="s">
        <v>384</v>
      </c>
    </row>
    <row r="101" ht="22.5" customHeight="1">
      <c r="A101" s="5" t="s">
        <v>387</v>
      </c>
      <c r="B101" s="38" t="s">
        <v>334</v>
      </c>
      <c r="C101" s="20" t="s">
        <v>384</v>
      </c>
    </row>
    <row r="102" ht="22.5" customHeight="1">
      <c r="A102" s="5" t="s">
        <v>388</v>
      </c>
      <c r="B102" s="38" t="s">
        <v>389</v>
      </c>
      <c r="C102" s="20" t="s">
        <v>319</v>
      </c>
    </row>
    <row r="103" ht="22.5" customHeight="1">
      <c r="A103" s="5" t="s">
        <v>390</v>
      </c>
      <c r="B103" s="38" t="s">
        <v>389</v>
      </c>
      <c r="C103" s="20" t="s">
        <v>319</v>
      </c>
    </row>
    <row r="104" ht="22.5" customHeight="1">
      <c r="A104" s="5" t="s">
        <v>391</v>
      </c>
      <c r="B104" s="38" t="s">
        <v>389</v>
      </c>
      <c r="C104" s="20" t="s">
        <v>160</v>
      </c>
    </row>
    <row r="105" ht="22.5" customHeight="1">
      <c r="A105" s="5" t="s">
        <v>392</v>
      </c>
      <c r="B105" s="38" t="s">
        <v>389</v>
      </c>
      <c r="C105" s="20" t="s">
        <v>160</v>
      </c>
    </row>
    <row r="106" ht="22.5" customHeight="1">
      <c r="A106" s="5" t="s">
        <v>393</v>
      </c>
      <c r="B106" s="38" t="s">
        <v>389</v>
      </c>
      <c r="C106" s="20" t="s">
        <v>273</v>
      </c>
    </row>
    <row r="107" ht="22.5" customHeight="1">
      <c r="A107" s="5" t="s">
        <v>394</v>
      </c>
      <c r="B107" s="38" t="s">
        <v>389</v>
      </c>
      <c r="C107" s="20" t="s">
        <v>273</v>
      </c>
    </row>
    <row r="108" ht="22.5" customHeight="1">
      <c r="A108" s="10" t="s">
        <v>395</v>
      </c>
      <c r="B108" s="38" t="s">
        <v>396</v>
      </c>
      <c r="C108" s="20" t="s">
        <v>397</v>
      </c>
    </row>
    <row r="109" ht="22.5" customHeight="1">
      <c r="A109" s="20" t="s">
        <v>398</v>
      </c>
      <c r="B109" s="38" t="s">
        <v>396</v>
      </c>
      <c r="C109" s="20" t="s">
        <v>397</v>
      </c>
    </row>
    <row r="110" ht="22.5" customHeight="1">
      <c r="A110" s="20" t="s">
        <v>399</v>
      </c>
      <c r="B110" s="38" t="s">
        <v>396</v>
      </c>
      <c r="C110" s="20" t="s">
        <v>397</v>
      </c>
    </row>
    <row r="111" ht="22.5" customHeight="1">
      <c r="A111" s="20" t="s">
        <v>400</v>
      </c>
      <c r="B111" s="38" t="s">
        <v>396</v>
      </c>
      <c r="C111" s="20" t="s">
        <v>397</v>
      </c>
    </row>
    <row r="112" ht="22.5" customHeight="1">
      <c r="A112" s="20" t="s">
        <v>401</v>
      </c>
      <c r="B112" s="38" t="s">
        <v>396</v>
      </c>
      <c r="C112" s="20" t="s">
        <v>397</v>
      </c>
    </row>
    <row r="113" ht="22.5" customHeight="1">
      <c r="A113" s="20" t="s">
        <v>402</v>
      </c>
      <c r="B113" s="38" t="s">
        <v>396</v>
      </c>
      <c r="C113" s="20" t="s">
        <v>397</v>
      </c>
    </row>
    <row r="114" ht="22.5" customHeight="1">
      <c r="A114" s="20" t="s">
        <v>403</v>
      </c>
      <c r="B114" s="38" t="s">
        <v>396</v>
      </c>
      <c r="C114" s="20" t="s">
        <v>397</v>
      </c>
    </row>
    <row r="115" ht="22.5" customHeight="1">
      <c r="A115" s="39" t="s">
        <v>404</v>
      </c>
      <c r="B115" s="38" t="s">
        <v>396</v>
      </c>
      <c r="C115" s="20" t="s">
        <v>405</v>
      </c>
    </row>
    <row r="116" ht="22.5" customHeight="1">
      <c r="A116" s="20" t="s">
        <v>406</v>
      </c>
      <c r="B116" s="38" t="s">
        <v>396</v>
      </c>
      <c r="C116" s="20" t="s">
        <v>405</v>
      </c>
    </row>
    <row r="117" ht="22.5" customHeight="1">
      <c r="A117" s="20" t="s">
        <v>407</v>
      </c>
      <c r="B117" s="38" t="s">
        <v>396</v>
      </c>
      <c r="C117" s="20" t="s">
        <v>405</v>
      </c>
    </row>
    <row r="118" ht="22.5" customHeight="1">
      <c r="A118" s="20" t="s">
        <v>408</v>
      </c>
      <c r="B118" s="38" t="s">
        <v>396</v>
      </c>
      <c r="C118" s="20" t="s">
        <v>405</v>
      </c>
    </row>
    <row r="119" ht="22.5" customHeight="1">
      <c r="A119" s="20" t="s">
        <v>409</v>
      </c>
      <c r="B119" s="38" t="s">
        <v>396</v>
      </c>
      <c r="C119" s="20" t="s">
        <v>405</v>
      </c>
    </row>
    <row r="120" ht="22.5" customHeight="1">
      <c r="A120" s="20" t="s">
        <v>410</v>
      </c>
      <c r="B120" s="38" t="s">
        <v>396</v>
      </c>
      <c r="C120" s="20" t="s">
        <v>405</v>
      </c>
    </row>
    <row r="121" ht="22.5" customHeight="1">
      <c r="A121" s="20" t="s">
        <v>411</v>
      </c>
      <c r="B121" s="38" t="s">
        <v>396</v>
      </c>
      <c r="C121" s="20" t="s">
        <v>405</v>
      </c>
    </row>
    <row r="122" ht="22.5" customHeight="1">
      <c r="A122" s="10" t="s">
        <v>412</v>
      </c>
      <c r="B122" s="38" t="s">
        <v>396</v>
      </c>
      <c r="C122" s="5" t="s">
        <v>413</v>
      </c>
    </row>
    <row r="123" ht="22.5" customHeight="1">
      <c r="A123" s="20" t="s">
        <v>414</v>
      </c>
      <c r="B123" s="38" t="s">
        <v>396</v>
      </c>
      <c r="C123" s="20" t="s">
        <v>413</v>
      </c>
    </row>
    <row r="124" ht="22.5" customHeight="1">
      <c r="A124" s="20" t="s">
        <v>415</v>
      </c>
      <c r="B124" s="38" t="s">
        <v>396</v>
      </c>
      <c r="C124" s="20" t="s">
        <v>413</v>
      </c>
    </row>
    <row r="125" ht="22.5" customHeight="1">
      <c r="A125" s="20" t="s">
        <v>416</v>
      </c>
      <c r="B125" s="38" t="s">
        <v>396</v>
      </c>
      <c r="C125" s="20" t="s">
        <v>413</v>
      </c>
    </row>
    <row r="126" ht="22.5" customHeight="1">
      <c r="A126" s="39" t="s">
        <v>417</v>
      </c>
      <c r="B126" s="38" t="s">
        <v>396</v>
      </c>
      <c r="C126" s="20" t="s">
        <v>330</v>
      </c>
    </row>
    <row r="127" ht="22.5" customHeight="1">
      <c r="A127" s="20" t="s">
        <v>418</v>
      </c>
      <c r="B127" s="38" t="s">
        <v>396</v>
      </c>
      <c r="C127" s="20" t="s">
        <v>330</v>
      </c>
    </row>
    <row r="128" ht="22.5" customHeight="1">
      <c r="A128" s="20" t="s">
        <v>419</v>
      </c>
      <c r="B128" s="38" t="s">
        <v>396</v>
      </c>
      <c r="C128" s="20" t="s">
        <v>330</v>
      </c>
    </row>
    <row r="129" ht="22.5" customHeight="1">
      <c r="A129" s="20" t="s">
        <v>420</v>
      </c>
      <c r="B129" s="38" t="s">
        <v>396</v>
      </c>
      <c r="C129" s="20" t="s">
        <v>330</v>
      </c>
    </row>
    <row r="130" ht="22.5" customHeight="1">
      <c r="A130" s="20" t="s">
        <v>421</v>
      </c>
      <c r="B130" s="38" t="s">
        <v>396</v>
      </c>
      <c r="C130" s="20" t="s">
        <v>330</v>
      </c>
    </row>
    <row r="131" ht="22.5" customHeight="1">
      <c r="A131" s="20" t="s">
        <v>422</v>
      </c>
      <c r="B131" s="38" t="s">
        <v>396</v>
      </c>
      <c r="C131" s="20" t="s">
        <v>330</v>
      </c>
    </row>
    <row r="132" ht="22.5" customHeight="1">
      <c r="A132" s="20" t="s">
        <v>423</v>
      </c>
      <c r="B132" s="38" t="s">
        <v>396</v>
      </c>
      <c r="C132" s="20" t="s">
        <v>330</v>
      </c>
    </row>
    <row r="133" ht="22.5" customHeight="1">
      <c r="A133" s="5" t="s">
        <v>424</v>
      </c>
      <c r="B133" s="38" t="s">
        <v>425</v>
      </c>
      <c r="C133" s="20" t="s">
        <v>160</v>
      </c>
    </row>
    <row r="134" ht="22.5" customHeight="1">
      <c r="A134" s="5" t="s">
        <v>426</v>
      </c>
      <c r="B134" s="38" t="s">
        <v>425</v>
      </c>
      <c r="C134" s="20" t="s">
        <v>160</v>
      </c>
    </row>
    <row r="135" ht="22.5" customHeight="1">
      <c r="A135" s="5" t="s">
        <v>427</v>
      </c>
      <c r="B135" s="38" t="s">
        <v>425</v>
      </c>
      <c r="C135" s="20" t="s">
        <v>160</v>
      </c>
    </row>
    <row r="136" ht="22.5" customHeight="1">
      <c r="A136" s="5" t="s">
        <v>428</v>
      </c>
      <c r="B136" s="38" t="s">
        <v>425</v>
      </c>
      <c r="C136" s="20" t="s">
        <v>160</v>
      </c>
    </row>
    <row r="137" ht="22.5" customHeight="1">
      <c r="A137" s="5" t="s">
        <v>429</v>
      </c>
      <c r="B137" s="38" t="s">
        <v>425</v>
      </c>
      <c r="C137" s="20" t="s">
        <v>160</v>
      </c>
    </row>
    <row r="138" ht="22.5" customHeight="1">
      <c r="A138" s="5" t="s">
        <v>430</v>
      </c>
      <c r="B138" s="38" t="s">
        <v>425</v>
      </c>
      <c r="C138" s="20" t="s">
        <v>160</v>
      </c>
    </row>
    <row r="139" ht="22.5" customHeight="1">
      <c r="A139" s="5" t="s">
        <v>315</v>
      </c>
      <c r="B139" s="38" t="s">
        <v>425</v>
      </c>
      <c r="C139" s="20" t="s">
        <v>160</v>
      </c>
    </row>
    <row r="140" ht="22.5" customHeight="1">
      <c r="A140" s="5" t="s">
        <v>431</v>
      </c>
      <c r="B140" s="38" t="s">
        <v>425</v>
      </c>
      <c r="C140" s="20" t="s">
        <v>160</v>
      </c>
    </row>
    <row r="141" ht="22.5" customHeight="1">
      <c r="A141" s="5" t="s">
        <v>432</v>
      </c>
      <c r="B141" s="38" t="s">
        <v>425</v>
      </c>
      <c r="C141" s="20" t="s">
        <v>160</v>
      </c>
    </row>
    <row r="142" ht="22.5" customHeight="1">
      <c r="A142" s="5" t="s">
        <v>433</v>
      </c>
      <c r="B142" s="38" t="s">
        <v>425</v>
      </c>
      <c r="C142" s="20" t="s">
        <v>160</v>
      </c>
    </row>
    <row r="143" ht="22.5" customHeight="1">
      <c r="A143" s="5" t="s">
        <v>434</v>
      </c>
      <c r="B143" s="38" t="s">
        <v>425</v>
      </c>
      <c r="C143" s="20" t="s">
        <v>160</v>
      </c>
    </row>
    <row r="144" ht="22.5" customHeight="1">
      <c r="A144" s="5" t="s">
        <v>435</v>
      </c>
      <c r="B144" s="38" t="s">
        <v>425</v>
      </c>
      <c r="C144" s="20" t="s">
        <v>160</v>
      </c>
    </row>
    <row r="145" ht="22.5" customHeight="1">
      <c r="A145" s="5" t="s">
        <v>436</v>
      </c>
      <c r="B145" s="38" t="s">
        <v>425</v>
      </c>
      <c r="C145" s="20" t="s">
        <v>160</v>
      </c>
    </row>
    <row r="146" ht="22.5" customHeight="1">
      <c r="A146" s="5" t="s">
        <v>437</v>
      </c>
      <c r="B146" s="38" t="s">
        <v>425</v>
      </c>
      <c r="C146" s="20" t="s">
        <v>160</v>
      </c>
    </row>
    <row r="147" ht="22.5" customHeight="1">
      <c r="A147" s="5" t="s">
        <v>438</v>
      </c>
      <c r="B147" s="38" t="s">
        <v>425</v>
      </c>
      <c r="C147" s="20" t="s">
        <v>160</v>
      </c>
    </row>
    <row r="148" ht="22.5" customHeight="1">
      <c r="A148" s="5" t="s">
        <v>439</v>
      </c>
      <c r="B148" s="38" t="s">
        <v>425</v>
      </c>
      <c r="C148" s="5" t="s">
        <v>319</v>
      </c>
    </row>
    <row r="149" ht="22.5" customHeight="1">
      <c r="A149" s="5" t="s">
        <v>440</v>
      </c>
      <c r="B149" s="38" t="s">
        <v>425</v>
      </c>
      <c r="C149" s="5" t="s">
        <v>319</v>
      </c>
    </row>
    <row r="150" ht="22.5" customHeight="1">
      <c r="A150" s="20" t="s">
        <v>441</v>
      </c>
      <c r="B150" s="38" t="s">
        <v>425</v>
      </c>
      <c r="C150" s="5" t="s">
        <v>319</v>
      </c>
    </row>
    <row r="151" ht="22.5" customHeight="1">
      <c r="A151" s="20" t="s">
        <v>442</v>
      </c>
      <c r="B151" s="38" t="s">
        <v>425</v>
      </c>
      <c r="C151" s="5" t="s">
        <v>319</v>
      </c>
    </row>
    <row r="152" ht="22.5" customHeight="1">
      <c r="A152" s="20" t="s">
        <v>443</v>
      </c>
      <c r="B152" s="38" t="s">
        <v>425</v>
      </c>
      <c r="C152" s="5" t="s">
        <v>319</v>
      </c>
    </row>
    <row r="153" ht="22.5" customHeight="1">
      <c r="A153" s="20" t="s">
        <v>444</v>
      </c>
      <c r="B153" s="38" t="s">
        <v>425</v>
      </c>
      <c r="C153" s="20" t="s">
        <v>319</v>
      </c>
    </row>
    <row r="154" ht="22.5" customHeight="1">
      <c r="A154" s="20" t="s">
        <v>445</v>
      </c>
      <c r="B154" s="38" t="s">
        <v>425</v>
      </c>
      <c r="C154" s="20" t="s">
        <v>319</v>
      </c>
    </row>
    <row r="155" ht="22.5" customHeight="1">
      <c r="A155" s="20" t="s">
        <v>446</v>
      </c>
      <c r="B155" s="38" t="s">
        <v>425</v>
      </c>
      <c r="C155" s="20" t="s">
        <v>319</v>
      </c>
    </row>
    <row r="156" ht="22.5" customHeight="1">
      <c r="A156" s="20" t="s">
        <v>447</v>
      </c>
      <c r="B156" s="38" t="s">
        <v>425</v>
      </c>
      <c r="C156" s="20" t="s">
        <v>319</v>
      </c>
    </row>
    <row r="157" ht="22.5" customHeight="1">
      <c r="A157" s="20" t="s">
        <v>448</v>
      </c>
      <c r="B157" s="38" t="s">
        <v>425</v>
      </c>
      <c r="C157" s="20" t="s">
        <v>319</v>
      </c>
    </row>
    <row r="158" ht="22.5" customHeight="1">
      <c r="A158" s="20" t="s">
        <v>449</v>
      </c>
      <c r="B158" s="38" t="s">
        <v>425</v>
      </c>
      <c r="C158" s="20" t="s">
        <v>319</v>
      </c>
    </row>
    <row r="159" ht="22.5" customHeight="1">
      <c r="A159" s="20" t="s">
        <v>450</v>
      </c>
      <c r="B159" s="38" t="s">
        <v>425</v>
      </c>
      <c r="C159" s="20" t="s">
        <v>319</v>
      </c>
    </row>
    <row r="160" ht="22.5" customHeight="1">
      <c r="A160" s="20" t="s">
        <v>451</v>
      </c>
      <c r="B160" s="38" t="s">
        <v>425</v>
      </c>
      <c r="C160" s="20" t="s">
        <v>319</v>
      </c>
    </row>
    <row r="161" ht="22.5" customHeight="1">
      <c r="A161" s="20" t="s">
        <v>452</v>
      </c>
      <c r="B161" s="38" t="s">
        <v>425</v>
      </c>
      <c r="C161" s="20" t="s">
        <v>273</v>
      </c>
    </row>
    <row r="162" ht="22.5" customHeight="1">
      <c r="A162" s="20" t="s">
        <v>453</v>
      </c>
      <c r="B162" s="38" t="s">
        <v>425</v>
      </c>
      <c r="C162" s="20" t="s">
        <v>273</v>
      </c>
    </row>
    <row r="163" ht="22.5" customHeight="1">
      <c r="A163" s="20" t="s">
        <v>454</v>
      </c>
      <c r="B163" s="38" t="s">
        <v>425</v>
      </c>
      <c r="C163" s="20" t="s">
        <v>273</v>
      </c>
    </row>
    <row r="164" ht="22.5" customHeight="1">
      <c r="A164" s="20" t="s">
        <v>455</v>
      </c>
      <c r="B164" s="38" t="s">
        <v>425</v>
      </c>
      <c r="C164" s="20" t="s">
        <v>273</v>
      </c>
    </row>
    <row r="165" ht="22.5" customHeight="1">
      <c r="A165" s="20" t="s">
        <v>456</v>
      </c>
      <c r="B165" s="38" t="s">
        <v>425</v>
      </c>
      <c r="C165" s="20" t="s">
        <v>273</v>
      </c>
    </row>
    <row r="166" ht="22.5" customHeight="1">
      <c r="A166" s="20" t="s">
        <v>457</v>
      </c>
      <c r="B166" s="38" t="s">
        <v>425</v>
      </c>
      <c r="C166" s="20" t="s">
        <v>273</v>
      </c>
    </row>
    <row r="167" ht="22.5" customHeight="1">
      <c r="A167" s="20" t="s">
        <v>458</v>
      </c>
      <c r="B167" s="38" t="s">
        <v>425</v>
      </c>
      <c r="C167" s="20" t="s">
        <v>273</v>
      </c>
    </row>
    <row r="168" ht="22.5" customHeight="1">
      <c r="A168" s="20" t="s">
        <v>459</v>
      </c>
      <c r="B168" s="37" t="s">
        <v>460</v>
      </c>
      <c r="C168" s="20" t="s">
        <v>273</v>
      </c>
    </row>
    <row r="169" ht="22.5" customHeight="1">
      <c r="A169" s="20" t="s">
        <v>461</v>
      </c>
      <c r="B169" s="37" t="s">
        <v>460</v>
      </c>
      <c r="C169" s="20" t="s">
        <v>273</v>
      </c>
    </row>
    <row r="170" ht="22.5" customHeight="1">
      <c r="A170" s="20" t="s">
        <v>462</v>
      </c>
      <c r="B170" s="37" t="s">
        <v>460</v>
      </c>
      <c r="C170" s="20" t="s">
        <v>160</v>
      </c>
    </row>
    <row r="171" ht="22.5" customHeight="1">
      <c r="A171" s="20" t="s">
        <v>463</v>
      </c>
      <c r="B171" s="37" t="s">
        <v>460</v>
      </c>
      <c r="C171" s="20" t="s">
        <v>160</v>
      </c>
    </row>
    <row r="172" ht="22.5" customHeight="1">
      <c r="A172" s="20" t="s">
        <v>464</v>
      </c>
      <c r="B172" s="37" t="s">
        <v>460</v>
      </c>
      <c r="C172" s="20" t="s">
        <v>160</v>
      </c>
    </row>
    <row r="173" ht="22.5" customHeight="1">
      <c r="A173" s="20" t="s">
        <v>465</v>
      </c>
      <c r="B173" s="37" t="s">
        <v>460</v>
      </c>
      <c r="C173" s="20" t="s">
        <v>160</v>
      </c>
    </row>
    <row r="174" ht="22.5" customHeight="1">
      <c r="A174" s="20" t="s">
        <v>466</v>
      </c>
      <c r="B174" s="37" t="s">
        <v>460</v>
      </c>
      <c r="C174" s="20" t="s">
        <v>467</v>
      </c>
    </row>
    <row r="175" ht="22.5" customHeight="1">
      <c r="A175" s="5" t="s">
        <v>468</v>
      </c>
      <c r="B175" s="37" t="s">
        <v>460</v>
      </c>
      <c r="C175" s="20" t="s">
        <v>319</v>
      </c>
    </row>
    <row r="176" ht="22.5" customHeight="1">
      <c r="A176" s="20" t="s">
        <v>469</v>
      </c>
      <c r="B176" s="37" t="s">
        <v>460</v>
      </c>
      <c r="C176" s="20" t="s">
        <v>319</v>
      </c>
    </row>
    <row r="177" ht="22.5" customHeight="1">
      <c r="A177" s="38" t="s">
        <v>336</v>
      </c>
      <c r="B177" s="38" t="s">
        <v>470</v>
      </c>
      <c r="C177" s="20" t="s">
        <v>471</v>
      </c>
    </row>
    <row r="178" ht="22.5" customHeight="1">
      <c r="A178" s="38" t="s">
        <v>337</v>
      </c>
      <c r="B178" s="38" t="s">
        <v>470</v>
      </c>
      <c r="C178" s="20" t="s">
        <v>160</v>
      </c>
    </row>
    <row r="179" ht="22.5" customHeight="1">
      <c r="A179" s="38" t="s">
        <v>472</v>
      </c>
      <c r="B179" s="38" t="s">
        <v>470</v>
      </c>
      <c r="C179" s="20" t="s">
        <v>172</v>
      </c>
    </row>
    <row r="180" ht="22.5" customHeight="1">
      <c r="A180" s="38" t="s">
        <v>473</v>
      </c>
      <c r="B180" s="38" t="s">
        <v>470</v>
      </c>
      <c r="C180" s="20" t="s">
        <v>172</v>
      </c>
    </row>
    <row r="181" ht="22.5" customHeight="1">
      <c r="A181" s="38" t="s">
        <v>474</v>
      </c>
      <c r="B181" s="38" t="s">
        <v>470</v>
      </c>
      <c r="C181" s="20" t="s">
        <v>319</v>
      </c>
    </row>
    <row r="182" ht="22.5" customHeight="1">
      <c r="A182" s="20" t="s">
        <v>475</v>
      </c>
      <c r="B182" s="38" t="s">
        <v>470</v>
      </c>
      <c r="C182" s="20" t="s">
        <v>476</v>
      </c>
    </row>
    <row r="183" ht="22.5" customHeight="1">
      <c r="A183" s="20" t="s">
        <v>331</v>
      </c>
      <c r="B183" s="38" t="s">
        <v>470</v>
      </c>
      <c r="C183" s="20" t="s">
        <v>330</v>
      </c>
    </row>
    <row r="184" ht="22.5" customHeight="1">
      <c r="A184" s="20" t="s">
        <v>477</v>
      </c>
      <c r="B184" s="38" t="s">
        <v>470</v>
      </c>
      <c r="C184" s="20" t="s">
        <v>319</v>
      </c>
    </row>
    <row r="185" ht="22.5" customHeight="1">
      <c r="A185" s="20" t="s">
        <v>478</v>
      </c>
      <c r="B185" s="38" t="s">
        <v>470</v>
      </c>
      <c r="C185" s="20" t="s">
        <v>330</v>
      </c>
    </row>
    <row r="186" ht="22.5" customHeight="1">
      <c r="A186" s="20" t="s">
        <v>479</v>
      </c>
      <c r="B186" s="38" t="s">
        <v>470</v>
      </c>
      <c r="C186" s="20" t="s">
        <v>397</v>
      </c>
    </row>
    <row r="187" ht="22.5" customHeight="1">
      <c r="A187" s="20" t="s">
        <v>480</v>
      </c>
      <c r="B187" s="38" t="s">
        <v>481</v>
      </c>
      <c r="C187" s="20" t="s">
        <v>319</v>
      </c>
    </row>
    <row r="188" ht="22.5" customHeight="1">
      <c r="A188" s="20" t="s">
        <v>482</v>
      </c>
      <c r="B188" s="38" t="s">
        <v>483</v>
      </c>
      <c r="C188" s="20" t="s">
        <v>319</v>
      </c>
    </row>
    <row r="189" ht="22.5" customHeight="1">
      <c r="A189" s="20" t="s">
        <v>484</v>
      </c>
      <c r="B189" s="38" t="s">
        <v>483</v>
      </c>
      <c r="C189" s="20" t="s">
        <v>319</v>
      </c>
    </row>
    <row r="190" ht="22.5" customHeight="1">
      <c r="A190" s="20" t="s">
        <v>485</v>
      </c>
      <c r="B190" s="38" t="s">
        <v>483</v>
      </c>
      <c r="C190" s="20" t="s">
        <v>160</v>
      </c>
    </row>
    <row r="191" ht="22.5" customHeight="1">
      <c r="A191" s="20" t="s">
        <v>486</v>
      </c>
      <c r="B191" s="38" t="s">
        <v>483</v>
      </c>
      <c r="C191" s="20" t="s">
        <v>160</v>
      </c>
    </row>
    <row r="192" ht="22.5" customHeight="1">
      <c r="A192" s="20" t="s">
        <v>305</v>
      </c>
      <c r="B192" s="38" t="s">
        <v>483</v>
      </c>
      <c r="C192" s="20" t="s">
        <v>160</v>
      </c>
    </row>
    <row r="193" ht="22.5" customHeight="1">
      <c r="A193" s="20" t="s">
        <v>487</v>
      </c>
      <c r="B193" s="38" t="s">
        <v>483</v>
      </c>
      <c r="C193" s="20" t="s">
        <v>160</v>
      </c>
    </row>
    <row r="194" ht="22.5" customHeight="1">
      <c r="A194" s="20" t="s">
        <v>488</v>
      </c>
      <c r="B194" s="38" t="s">
        <v>483</v>
      </c>
      <c r="C194" s="20" t="s">
        <v>273</v>
      </c>
    </row>
    <row r="195" ht="22.5" customHeight="1">
      <c r="A195" s="20" t="s">
        <v>365</v>
      </c>
      <c r="B195" s="38" t="s">
        <v>483</v>
      </c>
      <c r="C195" s="20" t="s">
        <v>273</v>
      </c>
    </row>
    <row r="196" ht="22.5" customHeight="1">
      <c r="A196" s="20" t="s">
        <v>364</v>
      </c>
      <c r="B196" s="38" t="s">
        <v>483</v>
      </c>
      <c r="C196" s="20" t="s">
        <v>273</v>
      </c>
    </row>
    <row r="197" ht="22.5" customHeight="1">
      <c r="A197" s="20" t="s">
        <v>489</v>
      </c>
      <c r="B197" s="38" t="s">
        <v>483</v>
      </c>
      <c r="C197" s="20" t="s">
        <v>273</v>
      </c>
    </row>
    <row r="198" ht="22.5" customHeight="1">
      <c r="A198" s="20" t="s">
        <v>364</v>
      </c>
      <c r="B198" s="38" t="s">
        <v>490</v>
      </c>
      <c r="C198" s="20" t="s">
        <v>160</v>
      </c>
    </row>
    <row r="199" ht="22.5" customHeight="1">
      <c r="A199" s="20" t="s">
        <v>491</v>
      </c>
      <c r="B199" s="38" t="s">
        <v>492</v>
      </c>
      <c r="C199" s="20" t="s">
        <v>160</v>
      </c>
    </row>
    <row r="200" ht="22.5" customHeight="1">
      <c r="A200" s="20" t="s">
        <v>493</v>
      </c>
      <c r="B200" s="38" t="s">
        <v>492</v>
      </c>
      <c r="C200" s="20" t="s">
        <v>160</v>
      </c>
    </row>
    <row r="201" ht="22.5" customHeight="1">
      <c r="A201" s="20" t="s">
        <v>494</v>
      </c>
      <c r="B201" s="38" t="s">
        <v>492</v>
      </c>
      <c r="C201" s="20" t="s">
        <v>273</v>
      </c>
    </row>
    <row r="202" ht="22.5" customHeight="1">
      <c r="A202" s="20" t="s">
        <v>305</v>
      </c>
      <c r="B202" s="38" t="s">
        <v>492</v>
      </c>
      <c r="C202" s="20" t="s">
        <v>160</v>
      </c>
    </row>
    <row r="203" ht="22.5" customHeight="1">
      <c r="A203" s="20" t="s">
        <v>495</v>
      </c>
      <c r="B203" s="37" t="s">
        <v>496</v>
      </c>
      <c r="C203" s="20" t="s">
        <v>172</v>
      </c>
    </row>
    <row r="204" ht="22.5" customHeight="1">
      <c r="A204" s="20" t="s">
        <v>497</v>
      </c>
      <c r="B204" s="37" t="s">
        <v>498</v>
      </c>
      <c r="C204" s="20" t="s">
        <v>172</v>
      </c>
    </row>
    <row r="205" ht="22.5" customHeight="1">
      <c r="A205" s="20" t="s">
        <v>331</v>
      </c>
      <c r="B205" s="37" t="s">
        <v>498</v>
      </c>
      <c r="C205" s="20" t="s">
        <v>330</v>
      </c>
    </row>
    <row r="206" ht="22.5" customHeight="1">
      <c r="A206" s="20" t="s">
        <v>499</v>
      </c>
      <c r="B206" s="37" t="s">
        <v>498</v>
      </c>
      <c r="C206" s="20" t="s">
        <v>500</v>
      </c>
    </row>
    <row r="207" ht="22.5" customHeight="1">
      <c r="A207" s="20" t="s">
        <v>501</v>
      </c>
      <c r="B207" s="37" t="s">
        <v>498</v>
      </c>
      <c r="C207" s="20" t="s">
        <v>172</v>
      </c>
    </row>
    <row r="208" ht="22.5" customHeight="1">
      <c r="A208" s="20" t="s">
        <v>482</v>
      </c>
      <c r="B208" s="38" t="s">
        <v>502</v>
      </c>
      <c r="C208" s="20" t="s">
        <v>319</v>
      </c>
    </row>
    <row r="209" ht="22.5" customHeight="1">
      <c r="A209" s="20" t="s">
        <v>503</v>
      </c>
      <c r="B209" s="38" t="s">
        <v>502</v>
      </c>
      <c r="C209" s="20" t="s">
        <v>319</v>
      </c>
    </row>
    <row r="210" ht="22.5" customHeight="1">
      <c r="A210" s="20" t="s">
        <v>303</v>
      </c>
      <c r="B210" s="38" t="s">
        <v>502</v>
      </c>
      <c r="C210" s="20" t="s">
        <v>160</v>
      </c>
    </row>
    <row r="211" ht="22.5" customHeight="1">
      <c r="A211" s="20" t="s">
        <v>504</v>
      </c>
      <c r="B211" s="38" t="s">
        <v>502</v>
      </c>
      <c r="C211" s="20" t="s">
        <v>160</v>
      </c>
    </row>
    <row r="212" ht="22.5" customHeight="1">
      <c r="A212" s="20" t="s">
        <v>505</v>
      </c>
      <c r="B212" s="38" t="s">
        <v>502</v>
      </c>
      <c r="C212" s="20" t="s">
        <v>160</v>
      </c>
    </row>
    <row r="213" ht="22.5" customHeight="1">
      <c r="A213" s="20" t="s">
        <v>364</v>
      </c>
      <c r="B213" s="38" t="s">
        <v>502</v>
      </c>
      <c r="C213" s="20" t="s">
        <v>273</v>
      </c>
    </row>
    <row r="214" ht="22.5" customHeight="1">
      <c r="A214" s="20" t="s">
        <v>506</v>
      </c>
      <c r="B214" s="38" t="s">
        <v>502</v>
      </c>
      <c r="C214" s="20" t="s">
        <v>273</v>
      </c>
    </row>
    <row r="215" ht="22.5" customHeight="1">
      <c r="A215" s="20" t="s">
        <v>507</v>
      </c>
      <c r="B215" s="38" t="s">
        <v>508</v>
      </c>
      <c r="C215" s="20" t="s">
        <v>160</v>
      </c>
    </row>
    <row r="216" ht="22.5" customHeight="1">
      <c r="A216" s="20" t="s">
        <v>303</v>
      </c>
      <c r="B216" s="38" t="s">
        <v>508</v>
      </c>
      <c r="C216" s="20" t="s">
        <v>160</v>
      </c>
    </row>
    <row r="217" ht="22.5" customHeight="1">
      <c r="A217" s="20" t="s">
        <v>509</v>
      </c>
      <c r="B217" s="38" t="s">
        <v>508</v>
      </c>
      <c r="C217" s="27"/>
    </row>
    <row r="218" ht="22.5" customHeight="1">
      <c r="A218" s="20" t="s">
        <v>510</v>
      </c>
      <c r="B218" s="38" t="s">
        <v>508</v>
      </c>
      <c r="C218" s="27"/>
    </row>
    <row r="219" ht="22.5" customHeight="1">
      <c r="A219" s="20" t="s">
        <v>511</v>
      </c>
      <c r="B219" s="38" t="s">
        <v>508</v>
      </c>
      <c r="C219" s="27"/>
    </row>
    <row r="220" ht="22.5" customHeight="1">
      <c r="A220" s="20" t="s">
        <v>512</v>
      </c>
      <c r="B220" s="38" t="s">
        <v>508</v>
      </c>
      <c r="C220" s="27"/>
    </row>
    <row r="221" ht="22.5" customHeight="1">
      <c r="A221" s="20" t="s">
        <v>491</v>
      </c>
      <c r="B221" s="38" t="s">
        <v>513</v>
      </c>
      <c r="C221" s="20" t="s">
        <v>160</v>
      </c>
    </row>
    <row r="222" ht="22.5" customHeight="1">
      <c r="A222" s="20" t="s">
        <v>305</v>
      </c>
      <c r="B222" s="38" t="s">
        <v>513</v>
      </c>
      <c r="C222" s="20" t="s">
        <v>160</v>
      </c>
    </row>
    <row r="223" ht="22.5" customHeight="1">
      <c r="A223" s="20" t="s">
        <v>493</v>
      </c>
      <c r="B223" s="38" t="s">
        <v>513</v>
      </c>
      <c r="C223" s="20" t="s">
        <v>160</v>
      </c>
    </row>
    <row r="224" ht="22.5" customHeight="1">
      <c r="A224" s="20" t="s">
        <v>364</v>
      </c>
      <c r="B224" s="38" t="s">
        <v>513</v>
      </c>
      <c r="C224" s="20" t="s">
        <v>160</v>
      </c>
    </row>
    <row r="225" ht="22.5" customHeight="1">
      <c r="A225" s="20" t="s">
        <v>494</v>
      </c>
      <c r="B225" s="38" t="s">
        <v>513</v>
      </c>
      <c r="C225" s="20" t="s">
        <v>273</v>
      </c>
    </row>
    <row r="226" ht="22.5" customHeight="1">
      <c r="A226" s="20" t="s">
        <v>482</v>
      </c>
      <c r="B226" s="38" t="s">
        <v>514</v>
      </c>
      <c r="C226" s="20" t="s">
        <v>172</v>
      </c>
    </row>
    <row r="227" ht="22.5" customHeight="1">
      <c r="A227" s="20" t="s">
        <v>515</v>
      </c>
      <c r="B227" s="38" t="s">
        <v>514</v>
      </c>
      <c r="C227" s="20" t="s">
        <v>172</v>
      </c>
    </row>
    <row r="228" ht="22.5" customHeight="1">
      <c r="A228" s="20" t="s">
        <v>516</v>
      </c>
      <c r="B228" s="38" t="s">
        <v>514</v>
      </c>
      <c r="C228" s="20" t="s">
        <v>172</v>
      </c>
    </row>
    <row r="229" ht="22.5" customHeight="1">
      <c r="A229" s="20" t="s">
        <v>503</v>
      </c>
      <c r="B229" s="38" t="s">
        <v>514</v>
      </c>
      <c r="C229" s="20" t="s">
        <v>172</v>
      </c>
    </row>
    <row r="230" ht="22.5" customHeight="1">
      <c r="A230" s="20" t="s">
        <v>517</v>
      </c>
      <c r="B230" s="38" t="s">
        <v>514</v>
      </c>
      <c r="C230" s="20" t="s">
        <v>172</v>
      </c>
    </row>
    <row r="231" ht="22.5" customHeight="1">
      <c r="A231" s="20" t="s">
        <v>518</v>
      </c>
      <c r="B231" s="38" t="s">
        <v>514</v>
      </c>
      <c r="C231" s="20" t="s">
        <v>172</v>
      </c>
    </row>
    <row r="232" ht="22.5" customHeight="1">
      <c r="A232" s="20" t="s">
        <v>519</v>
      </c>
      <c r="B232" s="38" t="s">
        <v>514</v>
      </c>
      <c r="C232" s="20" t="s">
        <v>172</v>
      </c>
    </row>
    <row r="233" ht="22.5" customHeight="1">
      <c r="A233" s="20" t="s">
        <v>520</v>
      </c>
      <c r="B233" s="38" t="s">
        <v>514</v>
      </c>
      <c r="C233" s="20" t="s">
        <v>172</v>
      </c>
    </row>
    <row r="234" ht="22.5" customHeight="1">
      <c r="A234" s="20" t="s">
        <v>336</v>
      </c>
      <c r="B234" s="38" t="s">
        <v>514</v>
      </c>
      <c r="C234" s="20" t="s">
        <v>172</v>
      </c>
    </row>
    <row r="235" ht="22.5" customHeight="1">
      <c r="A235" s="20" t="s">
        <v>337</v>
      </c>
      <c r="B235" s="38" t="s">
        <v>514</v>
      </c>
      <c r="C235" s="20" t="s">
        <v>172</v>
      </c>
    </row>
    <row r="236" ht="22.5" customHeight="1">
      <c r="A236" s="20" t="s">
        <v>501</v>
      </c>
      <c r="B236" s="38" t="s">
        <v>514</v>
      </c>
      <c r="C236" s="20" t="s">
        <v>172</v>
      </c>
    </row>
    <row r="237" ht="22.5" customHeight="1">
      <c r="A237" s="20" t="s">
        <v>521</v>
      </c>
      <c r="B237" s="38" t="s">
        <v>522</v>
      </c>
      <c r="C237" s="20" t="s">
        <v>160</v>
      </c>
    </row>
    <row r="238" ht="22.5" customHeight="1">
      <c r="A238" s="20" t="s">
        <v>337</v>
      </c>
      <c r="B238" s="38" t="s">
        <v>522</v>
      </c>
      <c r="C238" s="20" t="s">
        <v>172</v>
      </c>
    </row>
    <row r="239" ht="22.5" customHeight="1">
      <c r="A239" s="20" t="s">
        <v>523</v>
      </c>
      <c r="B239" s="38" t="s">
        <v>522</v>
      </c>
      <c r="C239" s="20" t="s">
        <v>160</v>
      </c>
    </row>
    <row r="240" ht="22.5" customHeight="1">
      <c r="A240" s="20" t="s">
        <v>524</v>
      </c>
      <c r="B240" s="38" t="s">
        <v>522</v>
      </c>
      <c r="C240" s="20" t="s">
        <v>160</v>
      </c>
    </row>
    <row r="241" ht="22.5" customHeight="1">
      <c r="A241" s="20" t="s">
        <v>525</v>
      </c>
      <c r="B241" s="38" t="s">
        <v>522</v>
      </c>
      <c r="C241" s="20" t="s">
        <v>273</v>
      </c>
    </row>
    <row r="242" ht="22.5" customHeight="1">
      <c r="A242" s="20" t="s">
        <v>303</v>
      </c>
      <c r="B242" s="38" t="s">
        <v>522</v>
      </c>
      <c r="C242" s="20" t="s">
        <v>160</v>
      </c>
    </row>
    <row r="243" ht="22.5" customHeight="1">
      <c r="A243" s="20" t="s">
        <v>526</v>
      </c>
      <c r="B243" s="38" t="s">
        <v>522</v>
      </c>
      <c r="C243" s="20" t="s">
        <v>160</v>
      </c>
    </row>
    <row r="244" ht="22.5" customHeight="1">
      <c r="A244" s="20" t="s">
        <v>527</v>
      </c>
      <c r="B244" s="5" t="s">
        <v>528</v>
      </c>
      <c r="C244" s="20" t="s">
        <v>273</v>
      </c>
    </row>
    <row r="245" ht="22.5" customHeight="1">
      <c r="A245" s="20" t="s">
        <v>529</v>
      </c>
      <c r="B245" s="5" t="s">
        <v>528</v>
      </c>
      <c r="C245" s="20" t="s">
        <v>273</v>
      </c>
    </row>
    <row r="246" ht="22.5" customHeight="1">
      <c r="A246" s="20" t="s">
        <v>530</v>
      </c>
      <c r="B246" s="5" t="s">
        <v>528</v>
      </c>
      <c r="C246" s="20" t="s">
        <v>273</v>
      </c>
    </row>
    <row r="247" ht="22.5" customHeight="1">
      <c r="A247" s="20" t="s">
        <v>531</v>
      </c>
      <c r="B247" s="5" t="s">
        <v>528</v>
      </c>
      <c r="C247" s="20" t="s">
        <v>160</v>
      </c>
    </row>
    <row r="248" ht="22.5" customHeight="1">
      <c r="A248" s="20" t="s">
        <v>532</v>
      </c>
      <c r="B248" s="5" t="s">
        <v>528</v>
      </c>
      <c r="C248" s="20" t="s">
        <v>160</v>
      </c>
    </row>
    <row r="249" ht="22.5" customHeight="1">
      <c r="A249" s="20" t="s">
        <v>533</v>
      </c>
      <c r="B249" s="5" t="s">
        <v>528</v>
      </c>
      <c r="C249" s="20" t="s">
        <v>160</v>
      </c>
    </row>
    <row r="250" ht="22.5" customHeight="1">
      <c r="A250" s="20" t="s">
        <v>534</v>
      </c>
      <c r="B250" s="5" t="s">
        <v>528</v>
      </c>
      <c r="C250" s="20" t="s">
        <v>319</v>
      </c>
    </row>
    <row r="251" ht="22.5" customHeight="1">
      <c r="A251" s="20" t="s">
        <v>535</v>
      </c>
      <c r="B251" s="5" t="s">
        <v>528</v>
      </c>
      <c r="C251" s="20" t="s">
        <v>319</v>
      </c>
    </row>
    <row r="252" ht="22.5" customHeight="1">
      <c r="A252" s="20" t="s">
        <v>536</v>
      </c>
      <c r="B252" s="5" t="s">
        <v>528</v>
      </c>
      <c r="C252" s="20" t="s">
        <v>319</v>
      </c>
    </row>
    <row r="253" ht="22.5" customHeight="1">
      <c r="A253" s="20" t="s">
        <v>537</v>
      </c>
      <c r="B253" s="5" t="s">
        <v>528</v>
      </c>
      <c r="C253" s="20" t="s">
        <v>319</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5"/>
    <col customWidth="1" min="2" max="2" width="37.63"/>
    <col customWidth="1" min="3" max="3" width="16.5"/>
    <col customWidth="1" min="4" max="6" width="37.63"/>
  </cols>
  <sheetData>
    <row r="1" ht="22.5" customHeight="1">
      <c r="A1" s="40" t="s">
        <v>538</v>
      </c>
      <c r="B1" s="41" t="s">
        <v>539</v>
      </c>
      <c r="C1" s="40" t="s">
        <v>540</v>
      </c>
      <c r="D1" s="41" t="s">
        <v>541</v>
      </c>
      <c r="E1" s="41" t="s">
        <v>542</v>
      </c>
      <c r="F1" s="41" t="s">
        <v>543</v>
      </c>
    </row>
    <row r="2" ht="22.5" customHeight="1">
      <c r="A2" s="42">
        <v>1.0</v>
      </c>
      <c r="B2" s="43" t="s">
        <v>544</v>
      </c>
      <c r="C2" s="42">
        <v>12.0</v>
      </c>
      <c r="D2" s="43" t="s">
        <v>545</v>
      </c>
      <c r="E2" s="43" t="str">
        <f>IFERROR(__xludf.DUMMYFUNCTION("AI(""summarize the clustering rationale"", D2)"),"The rationale is that executive endorsement is essential for AI adoption, grouping terms like 'Top management support' and 'Managerial Support' because they all indicate the directive leadership required for resource allocation and strategic prioritizatio"&amp;"n of AI initiatives.")</f>
        <v>The rationale is that executive endorsement is essential for AI adoption, grouping terms like 'Top management support' and 'Managerial Support' because they all indicate the directive leadership required for resource allocation and strategic prioritization of AI initiatives.</v>
      </c>
      <c r="F2" s="43" t="s">
        <v>546</v>
      </c>
    </row>
    <row r="3" ht="22.5" customHeight="1">
      <c r="A3" s="42">
        <v>2.0</v>
      </c>
      <c r="B3" s="43" t="s">
        <v>547</v>
      </c>
      <c r="C3" s="42">
        <v>9.0</v>
      </c>
      <c r="D3" s="43" t="s">
        <v>548</v>
      </c>
      <c r="E3" s="43" t="str">
        <f>IFERROR(__xludf.DUMMYFUNCTION("AI(""summarize the clustering rationale"", D3)"),"This environmental category groups all formal external influences from state or governing bodies, such as government support, privacy laws, various regulations (governmental, industry), political issues, and legal involvement.")</f>
        <v>This environmental category groups all formal external influences from state or governing bodies, such as government support, privacy laws, various regulations (governmental, industry), political issues, and legal involvement.</v>
      </c>
      <c r="F3" s="43" t="s">
        <v>549</v>
      </c>
    </row>
    <row r="4" ht="22.5" customHeight="1">
      <c r="A4" s="42">
        <v>3.0</v>
      </c>
      <c r="B4" s="43" t="s">
        <v>550</v>
      </c>
      <c r="C4" s="42">
        <v>8.0</v>
      </c>
      <c r="D4" s="43" t="s">
        <v>551</v>
      </c>
      <c r="E4" s="43" t="str">
        <f>IFERROR(__xludf.DUMMYFUNCTION("AI(""summarize the clustering rationale"", D4)"),"The rationale for this cluster is the influence of external environmental pressures, such as competitive pressure, market dynamics, and environmental dynamism, that drive the need for AI adoption.")</f>
        <v>The rationale for this cluster is the influence of external environmental pressures, such as competitive pressure, market dynamics, and environmental dynamism, that drive the need for AI adoption.</v>
      </c>
      <c r="F4" s="43" t="s">
        <v>552</v>
      </c>
    </row>
    <row r="5" ht="22.5" customHeight="1">
      <c r="A5" s="42">
        <v>3.0</v>
      </c>
      <c r="B5" s="43" t="s">
        <v>553</v>
      </c>
      <c r="C5" s="42">
        <v>8.0</v>
      </c>
      <c r="D5" s="43" t="s">
        <v>554</v>
      </c>
      <c r="E5" s="43" t="str">
        <f>IFERROR(__xludf.DUMMYFUNCTION("AI(""summarize the clustering rationale"", D5)"),"The rationale for this cluster is based on the Diffusion of Innovation (DOI) theory's attribute of ""Compatibility,"" merging various terms related to the required fit or congruence between an innovation and existing infrastructure, values, and practices.")</f>
        <v>The rationale for this cluster is based on the Diffusion of Innovation (DOI) theory's attribute of "Compatibility," merging various terms related to the required fit or congruence between an innovation and existing infrastructure, values, and practices.</v>
      </c>
      <c r="F5" s="43" t="s">
        <v>555</v>
      </c>
    </row>
    <row r="6" ht="22.5" customHeight="1">
      <c r="A6" s="42">
        <v>5.0</v>
      </c>
      <c r="B6" s="43" t="s">
        <v>556</v>
      </c>
      <c r="C6" s="42">
        <v>7.0</v>
      </c>
      <c r="D6" s="43" t="s">
        <v>557</v>
      </c>
      <c r="E6" s="43" t="str">
        <f>IFERROR(__xludf.DUMMYFUNCTION("AI(""summarize the clustering rationale"", D6)"),"This macro-level construct assesses a firm's internal capacity and infrastructure maturity for AI implementation, aggregating factors like organizational, AI, technical, financial, and broader resource readiness.")</f>
        <v>This macro-level construct assesses a firm's internal capacity and infrastructure maturity for AI implementation, aggregating factors like organizational, AI, technical, financial, and broader resource readiness.</v>
      </c>
      <c r="F6" s="43" t="s">
        <v>558</v>
      </c>
    </row>
    <row r="7" ht="22.5" customHeight="1">
      <c r="A7" s="42">
        <v>6.0</v>
      </c>
      <c r="B7" s="43" t="s">
        <v>559</v>
      </c>
      <c r="C7" s="42">
        <v>6.0</v>
      </c>
      <c r="D7" s="43" t="s">
        <v>560</v>
      </c>
      <c r="E7" s="43" t="str">
        <f>IFERROR(__xludf.DUMMYFUNCTION("AI(""summarize the clustering rationale"", D7)"),"The rationale involves core constructs from TAM and UTAUT, specifically ""Perceived usefulness"" and ""Performance expectancy,"" which are considered semantically identical and refer to the belief that using AI will improve job performance or utility.")</f>
        <v>The rationale involves core constructs from TAM and UTAUT, specifically "Perceived usefulness" and "Performance expectancy," which are considered semantically identical and refer to the belief that using AI will improve job performance or utility.</v>
      </c>
      <c r="F7" s="43" t="s">
        <v>561</v>
      </c>
    </row>
    <row r="8" ht="22.5" customHeight="1">
      <c r="A8" s="42">
        <v>6.0</v>
      </c>
      <c r="B8" s="43" t="s">
        <v>562</v>
      </c>
      <c r="C8" s="42">
        <v>6.0</v>
      </c>
      <c r="D8" s="43" t="s">
        <v>563</v>
      </c>
      <c r="E8" s="43" t="str">
        <f>IFERROR(__xludf.DUMMYFUNCTION("AI(""summarize the clustering rationale"", D8)"),"The rationale is based on foundational constructs from TAM and UTAUT, focusing on the perceived effort required to use the AI system, specifically 'Perceived ease of use' and 'Effort expectancy.'")</f>
        <v>The rationale is based on foundational constructs from TAM and UTAUT, focusing on the perceived effort required to use the AI system, specifically 'Perceived ease of use' and 'Effort expectancy.'</v>
      </c>
      <c r="F8" s="43" t="s">
        <v>561</v>
      </c>
    </row>
    <row r="9" ht="22.5" customHeight="1">
      <c r="A9" s="42">
        <v>6.0</v>
      </c>
      <c r="B9" s="43" t="s">
        <v>564</v>
      </c>
      <c r="C9" s="42">
        <v>6.0</v>
      </c>
      <c r="D9" s="43" t="s">
        <v>565</v>
      </c>
      <c r="E9" s="43" t="str">
        <f>IFERROR(__xludf.DUMMYFUNCTION("AI(""summarize the clustering rationale"", D9)"),"This clustering rationale aggregates factors related to the human capital needed for AI adoption and operation, such as the availability of skilled staff, resources, and competences, and addressing the lack of AI skills.")</f>
        <v>This clustering rationale aggregates factors related to the human capital needed for AI adoption and operation, such as the availability of skilled staff, resources, and competences, and addressing the lack of AI skills.</v>
      </c>
      <c r="F9" s="43" t="s">
        <v>566</v>
      </c>
    </row>
    <row r="10" ht="22.5" customHeight="1">
      <c r="A10" s="42">
        <v>9.0</v>
      </c>
      <c r="B10" s="43" t="s">
        <v>567</v>
      </c>
      <c r="C10" s="42">
        <v>5.0</v>
      </c>
      <c r="D10" s="43" t="s">
        <v>568</v>
      </c>
      <c r="E10" s="43" t="str">
        <f>IFERROR(__xludf.DUMMYFUNCTION("AI(""summarize the clustering rationale"", D10)"),"The critical factor groups items like 'privacy laws', 'Security', and 'Privacy' because they all relate to the protection of sensitive data and system integrity.")</f>
        <v>The critical factor groups items like 'privacy laws', 'Security', and 'Privacy' because they all relate to the protection of sensitive data and system integrity.</v>
      </c>
      <c r="F10" s="43" t="s">
        <v>569</v>
      </c>
    </row>
    <row r="11" ht="22.5" customHeight="1">
      <c r="A11" s="42">
        <v>9.0</v>
      </c>
      <c r="B11" s="43" t="s">
        <v>570</v>
      </c>
      <c r="C11" s="42">
        <v>5.0</v>
      </c>
      <c r="D11" s="43" t="s">
        <v>571</v>
      </c>
      <c r="E11" s="43" t="str">
        <f>IFERROR(__xludf.DUMMYFUNCTION("AI(""summarize the clustering rationale"", D11)"),"The category groups constructs related to a user's or organization's willingness to rely on the AI system, including 'Trust', 'Trust in technology', 'Trust in AI', and the sub-dimensions of trust ('cognitive trust', 'affective trust', and 'social trust').")</f>
        <v>The category groups constructs related to a user's or organization's willingness to rely on the AI system, including 'Trust', 'Trust in technology', 'Trust in AI', and the sub-dimensions of trust ('cognitive trust', 'affective trust', and 'social trust').</v>
      </c>
      <c r="F11" s="43" t="s">
        <v>572</v>
      </c>
    </row>
    <row r="12" ht="22.5" customHeight="1">
      <c r="A12" s="42">
        <v>9.0</v>
      </c>
      <c r="B12" s="43" t="s">
        <v>573</v>
      </c>
      <c r="C12" s="42">
        <v>5.0</v>
      </c>
      <c r="D12" s="43" t="s">
        <v>574</v>
      </c>
      <c r="E12" s="43" t="str">
        <f>IFERROR(__xludf.DUMMYFUNCTION("AI(""summarize the clustering rationale"", D12)"),"The rationale is a DOI-based construct referring to how much better an innovation is perceived to be than the preceding idea, consolidating ""relative Advantage"" and ""Benefits of AI systems,"" and focusing on the perceived positive outcomes of adoption.")</f>
        <v>The rationale is a DOI-based construct referring to how much better an innovation is perceived to be than the preceding idea, consolidating "relative Advantage" and "Benefits of AI systems," and focusing on the perceived positive outcomes of adoption.</v>
      </c>
      <c r="F12" s="43" t="s">
        <v>575</v>
      </c>
    </row>
    <row r="13" ht="22.5" customHeight="1">
      <c r="A13" s="42">
        <v>9.0</v>
      </c>
      <c r="B13" s="43" t="s">
        <v>576</v>
      </c>
      <c r="C13" s="42">
        <v>5.0</v>
      </c>
      <c r="D13" s="43" t="s">
        <v>577</v>
      </c>
      <c r="E13" s="43" t="str">
        <f>IFERROR(__xludf.DUMMYFUNCTION("AI(""summarize the clustering rationale"", D13)"),"The rationale is based on combining factors related to external assistance, such as cooperation, external support, and support from business partners, including external pressure that often includes support infrastructure.")</f>
        <v>The rationale is based on combining factors related to external assistance, such as cooperation, external support, and support from business partners, including external pressure that often includes support infrastructure.</v>
      </c>
      <c r="F13" s="43" t="s">
        <v>578</v>
      </c>
    </row>
    <row r="14" ht="22.5" customHeight="1">
      <c r="A14" s="42">
        <v>13.0</v>
      </c>
      <c r="B14" s="43" t="s">
        <v>579</v>
      </c>
      <c r="C14" s="42">
        <v>4.0</v>
      </c>
      <c r="D14" s="43" t="s">
        <v>580</v>
      </c>
      <c r="E14" s="43" t="str">
        <f>IFERROR(__xludf.DUMMYFUNCTION("AI(""summarize the clustering rationale"", D14)"),"The rationale clusters 'Firm size', 'Company Size', and 'Organizational size' under the structural factor of ""scale of the firm,"" noting that firm size often relates to resource availability and bureaucracy.")</f>
        <v>The rationale clusters 'Firm size', 'Company Size', and 'Organizational size' under the structural factor of "scale of the firm," noting that firm size often relates to resource availability and bureaucracy.</v>
      </c>
      <c r="F14" s="43" t="s">
        <v>581</v>
      </c>
    </row>
    <row r="15" ht="22.5" customHeight="1">
      <c r="A15" s="42">
        <v>13.0</v>
      </c>
      <c r="B15" s="43" t="s">
        <v>582</v>
      </c>
      <c r="C15" s="42">
        <v>4.0</v>
      </c>
      <c r="D15" s="43" t="s">
        <v>583</v>
      </c>
      <c r="E15" s="43" t="str">
        <f>IFERROR(__xludf.DUMMYFUNCTION("AI(""summarize the clustering rationale"", D15)"),"The rationale is based on how peers, community, and society influence the adoption decision, grouping 'Social influence', 'Peer and community perceptions', 'Subjective norms (SD1)', and 'Normative pressure'.")</f>
        <v>The rationale is based on how peers, community, and society influence the adoption decision, grouping 'Social influence', 'Peer and community perceptions', 'Subjective norms (SD1)', and 'Normative pressure'.</v>
      </c>
      <c r="F15" s="43" t="s">
        <v>584</v>
      </c>
    </row>
    <row r="16" ht="22.5" customHeight="1">
      <c r="A16" s="42">
        <v>13.0</v>
      </c>
      <c r="B16" s="43" t="s">
        <v>585</v>
      </c>
      <c r="C16" s="42">
        <v>4.0</v>
      </c>
      <c r="D16" s="43" t="s">
        <v>586</v>
      </c>
      <c r="E16" s="43" t="str">
        <f>IFERROR(__xludf.DUMMYFUNCTION("AI(""summarize the clustering rationale"", D16)"),"This factor represents a climate supporting novelty and change, combining 'organizational innovativeness,' 'Innovation culture,' and 'Personal innovatiness' to reflect a predisposition for adopting new technology.")</f>
        <v>This factor represents a climate supporting novelty and change, combining 'organizational innovativeness,' 'Innovation culture,' and 'Personal innovatiness' to reflect a predisposition for adopting new technology.</v>
      </c>
      <c r="F16" s="43" t="s">
        <v>587</v>
      </c>
    </row>
    <row r="17" ht="22.5" customHeight="1">
      <c r="A17" s="42">
        <v>16.0</v>
      </c>
      <c r="B17" s="43" t="s">
        <v>588</v>
      </c>
      <c r="C17" s="42">
        <v>3.0</v>
      </c>
      <c r="D17" s="43" t="s">
        <v>589</v>
      </c>
      <c r="E17" s="43" t="str">
        <f>IFERROR(__xludf.DUMMYFUNCTION("AI(""summarize the clustering rationale"", D17)"),"The rationale groups ""Fear of job loss,"" ""Resistance to use,"" ""employee fear of change,"" and ""Resistance to change"" as individual-level barriers that manifest as apprehension toward AI, stemming from perceived personal risk or disruption.")</f>
        <v>The rationale groups "Fear of job loss," "Resistance to use," "employee fear of change," and "Resistance to change" as individual-level barriers that manifest as apprehension toward AI, stemming from perceived personal risk or disruption.</v>
      </c>
      <c r="F17" s="43" t="s">
        <v>590</v>
      </c>
    </row>
    <row r="18" ht="22.5" customHeight="1">
      <c r="A18" s="42">
        <v>16.0</v>
      </c>
      <c r="B18" s="43" t="s">
        <v>591</v>
      </c>
      <c r="C18" s="42">
        <v>3.0</v>
      </c>
      <c r="D18" s="43" t="s">
        <v>592</v>
      </c>
      <c r="E18" s="43" t="str">
        <f>IFERROR(__xludf.DUMMYFUNCTION("AI(""summarize the clustering rationale"", D18)"),"This external factor pertains to assistance from AI suppliers, combining aspects of external service and collaboration like vendor support, AI vendor availability, and vendor partnership.")</f>
        <v>This external factor pertains to assistance from AI suppliers, combining aspects of external service and collaboration like vendor support, AI vendor availability, and vendor partnership.</v>
      </c>
      <c r="F18" s="43" t="s">
        <v>593</v>
      </c>
    </row>
    <row r="19" ht="22.5" customHeight="1">
      <c r="A19" s="42">
        <v>16.0</v>
      </c>
      <c r="B19" s="43" t="s">
        <v>594</v>
      </c>
      <c r="C19" s="42">
        <v>3.0</v>
      </c>
      <c r="D19" s="43" t="s">
        <v>595</v>
      </c>
      <c r="E19" s="43" t="str">
        <f>IFERROR(__xludf.DUMMYFUNCTION("AI(""summarize the clustering rationale"", D19)"),"The rationale focuses on the difficulty of understanding and using the AI system, specifically by merging concepts of 'complexity', 'System Complexity', and 'Technical complexity' because they act as barriers to adoption.")</f>
        <v>The rationale focuses on the difficulty of understanding and using the AI system, specifically by merging concepts of 'complexity', 'System Complexity', and 'Technical complexity' because they act as barriers to adoption.</v>
      </c>
      <c r="F19" s="43" t="s">
        <v>593</v>
      </c>
    </row>
    <row r="20" ht="22.5" customHeight="1">
      <c r="A20" s="42">
        <v>16.0</v>
      </c>
      <c r="B20" s="43" t="s">
        <v>596</v>
      </c>
      <c r="C20" s="42">
        <v>3.0</v>
      </c>
      <c r="D20" s="43" t="s">
        <v>597</v>
      </c>
      <c r="E20" s="43" t="str">
        <f>IFERROR(__xludf.DUMMYFUNCTION("AI(""summarize the clustering rationale"", D20)"),"Captures user apprehension about negative outcomes from AI use by combining 'Risk perception', 'Perceived threat / risks', and the risk aspect of 'Perceived risk and privacy concerns'.")</f>
        <v>Captures user apprehension about negative outcomes from AI use by combining 'Risk perception', 'Perceived threat / risks', and the risk aspect of 'Perceived risk and privacy concerns'.</v>
      </c>
      <c r="F20" s="43" t="s">
        <v>598</v>
      </c>
    </row>
    <row r="21" ht="22.5" customHeight="1">
      <c r="A21" s="42">
        <v>16.0</v>
      </c>
      <c r="B21" s="43" t="s">
        <v>599</v>
      </c>
      <c r="C21" s="42">
        <v>3.0</v>
      </c>
      <c r="D21" s="43" t="s">
        <v>600</v>
      </c>
      <c r="E21" s="43" t="str">
        <f>IFERROR(__xludf.DUMMYFUNCTION("AI(""summarize the clustering rationale"", D21)"),"The rationale is a resource-based factor focusing on monetary resources for AI, combining 'Financial and technical resources' (specifically financial), 'lack of funding', and 'Resources'.")</f>
        <v>The rationale is a resource-based factor focusing on monetary resources for AI, combining 'Financial and technical resources' (specifically financial), 'lack of funding', and 'Resources'.</v>
      </c>
      <c r="F21" s="43" t="s">
        <v>601</v>
      </c>
    </row>
    <row r="22" ht="22.5" customHeight="1">
      <c r="A22" s="42">
        <v>16.0</v>
      </c>
      <c r="B22" s="43" t="s">
        <v>602</v>
      </c>
      <c r="C22" s="42">
        <v>3.0</v>
      </c>
      <c r="D22" s="43" t="s">
        <v>603</v>
      </c>
      <c r="E22" s="43" t="str">
        <f>IFERROR(__xludf.DUMMYFUNCTION("AI(""summarize the clustering rationale"", D22)"),"This group focuses on the formal structures and principles of AI implementation by combining 'AI governance structures', 'AI governance system', and 'Ethical Guidelines*'.")</f>
        <v>This group focuses on the formal structures and principles of AI implementation by combining 'AI governance structures', 'AI governance system', and 'Ethical Guidelines*'.</v>
      </c>
      <c r="F22" s="43" t="s">
        <v>604</v>
      </c>
    </row>
    <row r="23" ht="22.5" customHeight="1">
      <c r="A23" s="42">
        <v>22.0</v>
      </c>
      <c r="B23" s="43" t="s">
        <v>605</v>
      </c>
      <c r="C23" s="42">
        <v>2.0</v>
      </c>
      <c r="D23" s="43" t="s">
        <v>606</v>
      </c>
      <c r="E23" s="43" t="str">
        <f>IFERROR(__xludf.DUMMYFUNCTION("AI(""summarize the clustering rationale"", D23)"),"Reflects the market environment's volatility and unpredictability.")</f>
        <v>Reflects the market environment's volatility and unpredictability.</v>
      </c>
      <c r="F23" s="43" t="s">
        <v>607</v>
      </c>
    </row>
    <row r="24" ht="22.5" customHeight="1">
      <c r="A24" s="42">
        <v>22.0</v>
      </c>
      <c r="B24" s="43" t="s">
        <v>608</v>
      </c>
      <c r="C24" s="42">
        <v>2.0</v>
      </c>
      <c r="D24" s="43" t="s">
        <v>609</v>
      </c>
      <c r="E24" s="43" t="str">
        <f>IFERROR(__xludf.DUMMYFUNCTION("AI(""summarize the clustering rationale"", D24)"),"The outcome variable is the direct precursor to adoption behavior.")</f>
        <v>The outcome variable is the direct precursor to adoption behavior.</v>
      </c>
      <c r="F24" s="43" t="s">
        <v>610</v>
      </c>
    </row>
    <row r="25" ht="22.5" customHeight="1">
      <c r="A25" s="42">
        <v>22.0</v>
      </c>
      <c r="B25" s="43" t="s">
        <v>611</v>
      </c>
      <c r="C25" s="42">
        <v>2.0</v>
      </c>
      <c r="D25" s="43" t="s">
        <v>612</v>
      </c>
      <c r="E25" s="43" t="str">
        <f>IFERROR(__xludf.DUMMYFUNCTION("AI(""summarize the clustering rationale"", D25)"),"Measures the workforce's ability to adjust to AI implementation.")</f>
        <v>Measures the workforce's ability to adjust to AI implementation.</v>
      </c>
      <c r="F25" s="43" t="s">
        <v>613</v>
      </c>
    </row>
    <row r="26" ht="22.5" customHeight="1">
      <c r="A26" s="42">
        <v>22.0</v>
      </c>
      <c r="B26" s="43" t="s">
        <v>614</v>
      </c>
      <c r="C26" s="42">
        <v>2.0</v>
      </c>
      <c r="D26" s="43" t="s">
        <v>615</v>
      </c>
      <c r="E26" s="43" t="str">
        <f>IFERROR(__xludf.DUMMYFUNCTION("AI(""summarize the clustering rationale"", D26)"),"This factor is about broad societal or industry standards, merging 'industry norms' and 'Cultural context'.")</f>
        <v>This factor is about broad societal or industry standards, merging 'industry norms' and 'Cultural context'.</v>
      </c>
      <c r="F26" s="43" t="s">
        <v>616</v>
      </c>
    </row>
    <row r="27" ht="22.5" customHeight="1">
      <c r="A27" s="42">
        <v>22.0</v>
      </c>
      <c r="B27" s="43" t="s">
        <v>617</v>
      </c>
      <c r="C27" s="42">
        <v>2.0</v>
      </c>
      <c r="D27" s="43" t="s">
        <v>618</v>
      </c>
      <c r="E27" s="43" t="str">
        <f>IFERROR(__xludf.DUMMYFUNCTION("AI(""summarize the clustering rationale"", D27)"),"The rationale groups 'Managerial capability' and 'Managerial capabilities' to assess management's competence in overseeing AI projects.")</f>
        <v>The rationale groups 'Managerial capability' and 'Managerial capabilities' to assess management's competence in overseeing AI projects.</v>
      </c>
      <c r="F27" s="43" t="s">
        <v>619</v>
      </c>
    </row>
    <row r="28" ht="22.5" customHeight="1">
      <c r="A28" s="42">
        <v>22.0</v>
      </c>
      <c r="B28" s="43" t="s">
        <v>620</v>
      </c>
      <c r="C28" s="42">
        <v>2.0</v>
      </c>
      <c r="D28" s="43" t="s">
        <v>621</v>
      </c>
      <c r="E28" s="43" t="str">
        <f>IFERROR(__xludf.DUMMYFUNCTION("AI(""summarize the clustering rationale"", D28)"),"The rationale is that this perception relates to the user's personal security when interacting with the AI system, combining 'Perceived safety' and its duplicate.")</f>
        <v>The rationale is that this perception relates to the user's personal security when interacting with the AI system, combining 'Perceived safety' and its duplicate.</v>
      </c>
      <c r="F28" s="43" t="s">
        <v>622</v>
      </c>
    </row>
    <row r="29" ht="22.5" customHeight="1">
      <c r="A29" s="42">
        <v>22.0</v>
      </c>
      <c r="B29" s="43" t="s">
        <v>623</v>
      </c>
      <c r="C29" s="42">
        <v>2.0</v>
      </c>
      <c r="D29" s="43" t="s">
        <v>624</v>
      </c>
      <c r="E29" s="43" t="str">
        <f>IFERROR(__xludf.DUMMYFUNCTION("AI(""summarize the clustering rationale"", D29)"),"This factor is a narrower view of organizational readiness, focusing on technical skills and assets by merging 'Technical competencies and resources' and the technical aspect of 'Financial and technical resources'.")</f>
        <v>This factor is a narrower view of organizational readiness, focusing on technical skills and assets by merging 'Technical competencies and resources' and the technical aspect of 'Financial and technical resources'.</v>
      </c>
      <c r="F29" s="43" t="s">
        <v>625</v>
      </c>
    </row>
    <row r="30" ht="22.5" customHeight="1">
      <c r="A30" s="42">
        <v>22.0</v>
      </c>
      <c r="B30" s="43" t="s">
        <v>626</v>
      </c>
      <c r="C30" s="42">
        <v>2.0</v>
      </c>
      <c r="D30" s="43" t="s">
        <v>627</v>
      </c>
      <c r="E30" s="43" t="str">
        <f>IFERROR(__xludf.DUMMYFUNCTION("AI(""summarize the clustering rationale"", D30)"),"This factor groups ""maturity of AI systems"" and ""Maturity of the system,"" as they both relate to the AI system's developmental stage.")</f>
        <v>This factor groups "maturity of AI systems" and "Maturity of the system," as they both relate to the AI system's developmental stage.</v>
      </c>
      <c r="F30" s="43" t="s">
        <v>622</v>
      </c>
    </row>
    <row r="31" ht="22.5" customHeight="1">
      <c r="A31" s="42">
        <v>22.0</v>
      </c>
      <c r="B31" s="43" t="s">
        <v>628</v>
      </c>
      <c r="C31" s="42">
        <v>2.0</v>
      </c>
      <c r="D31" s="43" t="s">
        <v>629</v>
      </c>
      <c r="E31" s="43" t="str">
        <f>IFERROR(__xludf.DUMMYFUNCTION("AI(""summarize the clustering rationale"", D31)"),"The environmental factor represents market demand for AI products or services.")</f>
        <v>The environmental factor represents market demand for AI products or services.</v>
      </c>
      <c r="F31" s="43" t="s">
        <v>622</v>
      </c>
    </row>
    <row r="32" ht="22.5" customHeight="1">
      <c r="A32" s="42">
        <v>22.0</v>
      </c>
      <c r="B32" s="43" t="s">
        <v>630</v>
      </c>
      <c r="C32" s="42">
        <v>2.0</v>
      </c>
      <c r="D32" s="43" t="s">
        <v>631</v>
      </c>
      <c r="E32" s="43" t="str">
        <f>IFERROR(__xludf.DUMMYFUNCTION("AI(""summarize the clustering rationale"", D32)"),"The rationale is based on a technological compatibility determinant, assessing how well the AI system's capabilities match the user's task demands and consolidating duplicates.")</f>
        <v>The rationale is based on a technological compatibility determinant, assessing how well the AI system's capabilities match the user's task demands and consolidating duplicates.</v>
      </c>
      <c r="F32" s="43" t="s">
        <v>622</v>
      </c>
    </row>
    <row r="33" ht="22.5" customHeight="1">
      <c r="A33" s="42">
        <v>22.0</v>
      </c>
      <c r="B33" s="43" t="s">
        <v>632</v>
      </c>
      <c r="C33" s="42">
        <v>2.0</v>
      </c>
      <c r="D33" s="43" t="s">
        <v>633</v>
      </c>
      <c r="E33" s="43" t="str">
        <f>IFERROR(__xludf.DUMMYFUNCTION("AI(""summarize the clustering rationale"", D33)"),"The rationale focuses on the technological factors that address the quality and trustworthiness of AI output, specifically by combining ""System reliability and accuracy"" with a similar concept found in the dataset.")</f>
        <v>The rationale focuses on the technological factors that address the quality and trustworthiness of AI output, specifically by combining "System reliability and accuracy" with a similar concept found in the dataset.</v>
      </c>
      <c r="F33" s="43" t="s">
        <v>622</v>
      </c>
    </row>
    <row r="34" ht="22.5" customHeight="1">
      <c r="A34" s="42">
        <v>22.0</v>
      </c>
      <c r="B34" s="43" t="s">
        <v>634</v>
      </c>
      <c r="C34" s="42">
        <v>2.0</v>
      </c>
      <c r="D34" s="43" t="s">
        <v>635</v>
      </c>
      <c r="E34" s="43" t="str">
        <f>IFERROR(__xludf.DUMMYFUNCTION("AI(""summarize the clustering rationale"", D34)"),"The rationale is that the psychological barrier is an exact duplicate and retains both original citations.")</f>
        <v>The rationale is that the psychological barrier is an exact duplicate and retains both original citations.</v>
      </c>
      <c r="F34" s="43" t="s">
        <v>622</v>
      </c>
    </row>
    <row r="35" ht="22.5" customHeight="1">
      <c r="A35" s="42">
        <v>22.0</v>
      </c>
      <c r="B35" s="43" t="s">
        <v>636</v>
      </c>
      <c r="C35" s="42">
        <v>2.0</v>
      </c>
      <c r="D35" s="43" t="s">
        <v>637</v>
      </c>
      <c r="E35" s="43" t="str">
        <f>IFERROR(__xludf.DUMMYFUNCTION("AI(""summarize the clustering rationale"", D35)"),"Organizational/social factors related to the internal environment for cooperative work, specifically grouping 'Collaboration culture' and 'Collaboration and communication culture'.")</f>
        <v>Organizational/social factors related to the internal environment for cooperative work, specifically grouping 'Collaboration culture' and 'Collaboration and communication culture'.</v>
      </c>
      <c r="F35" s="43" t="s">
        <v>622</v>
      </c>
    </row>
    <row r="36" ht="22.5" customHeight="1">
      <c r="A36" s="42">
        <v>22.0</v>
      </c>
      <c r="B36" s="43" t="s">
        <v>638</v>
      </c>
      <c r="C36" s="42">
        <v>2.0</v>
      </c>
      <c r="D36" s="43" t="s">
        <v>639</v>
      </c>
      <c r="E36" s="43" t="str">
        <f>IFERROR(__xludf.DUMMYFUNCTION("AI(""summarize the clustering rationale"", D36)"),"This technical factor covers the current technological environment, specifically the essential prerequisites of 'existing infrastructure' and 'IT Infrastructure' needed for AI deployment.")</f>
        <v>This technical factor covers the current technological environment, specifically the essential prerequisites of 'existing infrastructure' and 'IT Infrastructure' needed for AI deployment.</v>
      </c>
      <c r="F36" s="43" t="s">
        <v>640</v>
      </c>
    </row>
    <row r="37" ht="22.5" customHeight="1">
      <c r="A37" s="42">
        <v>22.0</v>
      </c>
      <c r="B37" s="43" t="s">
        <v>641</v>
      </c>
      <c r="C37" s="42">
        <v>2.0</v>
      </c>
      <c r="D37" s="43" t="s">
        <v>642</v>
      </c>
      <c r="E37" s="43" t="str">
        <f>IFERROR(__xludf.DUMMYFUNCTION("AI(""summarize the clustering rationale"", D37)"),"The rationale groups 'cost of adoption', 'Costs of AI systems', and 'Price value (PD3)' as they collectively represent the economic barrier to adoption.")</f>
        <v>The rationale groups 'cost of adoption', 'Costs of AI systems', and 'Price value (PD3)' as they collectively represent the economic barrier to adoption.</v>
      </c>
      <c r="F37" s="43" t="s">
        <v>643</v>
      </c>
    </row>
    <row r="38" ht="22.5" customHeight="1">
      <c r="A38" s="42">
        <v>22.0</v>
      </c>
      <c r="B38" s="43" t="s">
        <v>644</v>
      </c>
      <c r="C38" s="42">
        <v>2.0</v>
      </c>
      <c r="D38" s="43" t="s">
        <v>645</v>
      </c>
      <c r="E38" s="43" t="str">
        <f>IFERROR(__xludf.DUMMYFUNCTION("AI(""summarize the clustering rationale"", D38)"),"The rationale captures the planned approach to AI adoption, including 'Organizational strategy and roadmap for AI' and 'Strategic Orientation'.")</f>
        <v>The rationale captures the planned approach to AI adoption, including 'Organizational strategy and roadmap for AI' and 'Strategic Orientation'.</v>
      </c>
      <c r="F38" s="43" t="s">
        <v>640</v>
      </c>
    </row>
    <row r="39" ht="22.5" customHeight="1">
      <c r="A39" s="42">
        <v>22.0</v>
      </c>
      <c r="B39" s="43" t="s">
        <v>646</v>
      </c>
      <c r="C39" s="42">
        <v>2.0</v>
      </c>
      <c r="D39" s="43" t="s">
        <v>647</v>
      </c>
      <c r="E39" s="43" t="str">
        <f>IFERROR(__xludf.DUMMYFUNCTION("AI(""summarize the clustering rationale"", D39)"),"The rationale groups DOI terms related to how visible the innovation's results are to others, focusing on the demonstrability of AI benefits.")</f>
        <v>The rationale groups DOI terms related to how visible the innovation's results are to others, focusing on the demonstrability of AI benefits.</v>
      </c>
      <c r="F39" s="43" t="s">
        <v>648</v>
      </c>
    </row>
    <row r="40" ht="22.5" customHeight="1">
      <c r="A40" s="42">
        <v>22.0</v>
      </c>
      <c r="B40" s="43" t="s">
        <v>649</v>
      </c>
      <c r="C40" s="42">
        <v>2.0</v>
      </c>
      <c r="D40" s="43" t="s">
        <v>650</v>
      </c>
      <c r="E40" s="43" t="str">
        <f>IFERROR(__xludf.DUMMYFUNCTION("AI(""summarize the clustering rationale"", D40)"),"The rationale involves the organization's baseline technological sophistication, combining digital maturity and limited technology capabilities.")</f>
        <v>The rationale involves the organization's baseline technological sophistication, combining digital maturity and limited technology capabilities.</v>
      </c>
      <c r="F40" s="43" t="s">
        <v>651</v>
      </c>
    </row>
    <row r="41" ht="22.5" customHeight="1">
      <c r="A41" s="42">
        <v>22.0</v>
      </c>
      <c r="B41" s="43" t="s">
        <v>652</v>
      </c>
      <c r="C41" s="42">
        <v>2.0</v>
      </c>
      <c r="D41" s="43" t="s">
        <v>653</v>
      </c>
      <c r="E41" s="43" t="str">
        <f>IFERROR(__xludf.DUMMYFUNCTION("AI(""summarize the clustering rationale"", D41)"),"This clustering rationale combines 'Anthropomorphic design (AE5)' and 'Anthropomorphism &amp; perceived humanness' because they both relate to the human-like design and characteristics of the AI system.")</f>
        <v>This clustering rationale combines 'Anthropomorphic design (AE5)' and 'Anthropomorphism &amp; perceived humanness' because they both relate to the human-like design and characteristics of the AI system.</v>
      </c>
      <c r="F41" s="43" t="s">
        <v>654</v>
      </c>
    </row>
    <row r="42" ht="22.5" customHeight="1">
      <c r="A42" s="42">
        <v>22.0</v>
      </c>
      <c r="B42" s="43" t="s">
        <v>655</v>
      </c>
      <c r="C42" s="42">
        <v>2.0</v>
      </c>
      <c r="D42" s="43" t="s">
        <v>656</v>
      </c>
      <c r="E42" s="43" t="str">
        <f>IFERROR(__xludf.DUMMYFUNCTION("AI(""summarize the clustering rationale"", D42)"),"This factor combines 'Self-efficacy' and 'Technological self-efficacy (TP3),' relating to a person's belief in their ability to use the AI system effectively.")</f>
        <v>This factor combines 'Self-efficacy' and 'Technological self-efficacy (TP3),' relating to a person's belief in their ability to use the AI system effectively.</v>
      </c>
      <c r="F42" s="43" t="s">
        <v>657</v>
      </c>
    </row>
    <row r="43" ht="22.5" customHeight="1">
      <c r="A43" s="42">
        <v>37.0</v>
      </c>
      <c r="B43" s="43" t="s">
        <v>658</v>
      </c>
      <c r="C43" s="42">
        <v>1.0</v>
      </c>
      <c r="D43" s="43" t="s">
        <v>659</v>
      </c>
      <c r="E43" s="43" t="str">
        <f>IFERROR(__xludf.DUMMYFUNCTION("AI(""summarize the clustering rationale"", D43)"),"Rate of technological change in the industry.")</f>
        <v>Rate of technological change in the industry.</v>
      </c>
      <c r="F43" s="43" t="s">
        <v>508</v>
      </c>
    </row>
    <row r="44" ht="22.5" customHeight="1">
      <c r="A44" s="42">
        <v>37.0</v>
      </c>
      <c r="B44" s="43" t="s">
        <v>660</v>
      </c>
      <c r="C44" s="42">
        <v>1.0</v>
      </c>
      <c r="D44" s="43" t="s">
        <v>661</v>
      </c>
      <c r="E44" s="43" t="str">
        <f>IFERROR(__xludf.DUMMYFUNCTION("AI(""summarize the clustering rationale"", D44)"),"Proactively seeking new technological opportunities.")</f>
        <v>Proactively seeking new technological opportunities.</v>
      </c>
      <c r="F44" s="43" t="s">
        <v>508</v>
      </c>
    </row>
    <row r="45" ht="22.5" customHeight="1">
      <c r="A45" s="42">
        <v>37.0</v>
      </c>
      <c r="B45" s="43" t="s">
        <v>662</v>
      </c>
      <c r="C45" s="42">
        <v>1.0</v>
      </c>
      <c r="D45" s="43" t="s">
        <v>663</v>
      </c>
      <c r="E45" s="43" t="str">
        <f>IFERROR(__xludf.DUMMYFUNCTION("AI(""summarize the clustering rationale"", D45)"),"Focus on customer needs.")</f>
        <v>Focus on customer needs.</v>
      </c>
      <c r="F45" s="43" t="s">
        <v>508</v>
      </c>
    </row>
    <row r="46" ht="22.5" customHeight="1">
      <c r="A46" s="42">
        <v>37.0</v>
      </c>
      <c r="B46" s="43" t="s">
        <v>664</v>
      </c>
      <c r="C46" s="42">
        <v>1.0</v>
      </c>
      <c r="D46" s="43" t="s">
        <v>665</v>
      </c>
      <c r="E46" s="43" t="str">
        <f>IFERROR(__xludf.DUMMYFUNCTION("AI(""summarize the clustering rationale"", D46)"),"The rationale is that the variable is an outcome (AI's effect on performance) and not a determinant of adoption.")</f>
        <v>The rationale is that the variable is an outcome (AI's effect on performance) and not a determinant of adoption.</v>
      </c>
      <c r="F46" s="43" t="s">
        <v>508</v>
      </c>
    </row>
    <row r="47" ht="22.5" customHeight="1">
      <c r="A47" s="42">
        <v>37.0</v>
      </c>
      <c r="B47" s="43" t="s">
        <v>666</v>
      </c>
      <c r="C47" s="42">
        <v>1.0</v>
      </c>
      <c r="D47" s="43" t="s">
        <v>667</v>
      </c>
      <c r="E47" s="43" t="str">
        <f>IFERROR(__xludf.DUMMYFUNCTION("AI(""summarize the clustering rationale"", D47)"),"The rationale groups organizational factors that directly impact individual users under a general category. These factors include 'Clarity of roles and responsibilities', 'Task complexity', 'Effective operations', and 'Technology implementation experience"&amp;"'.")</f>
        <v>The rationale groups organizational factors that directly impact individual users under a general category. These factors include 'Clarity of roles and responsibilities', 'Task complexity', 'Effective operations', and 'Technology implementation experience'.</v>
      </c>
      <c r="F47" s="43" t="s">
        <v>334</v>
      </c>
    </row>
    <row r="48" ht="22.5" customHeight="1">
      <c r="A48" s="42">
        <v>37.0</v>
      </c>
      <c r="B48" s="43" t="s">
        <v>373</v>
      </c>
      <c r="C48" s="42">
        <v>1.0</v>
      </c>
      <c r="D48" s="43" t="s">
        <v>668</v>
      </c>
      <c r="E48" s="43" t="str">
        <f>IFERROR(__xludf.DUMMYFUNCTION("AI(""summarize the clustering rationale"", D48)"),"Ethical commitment beyond regulations.")</f>
        <v>Ethical commitment beyond regulations.</v>
      </c>
      <c r="F48" s="43" t="s">
        <v>334</v>
      </c>
    </row>
    <row r="49" ht="22.5" customHeight="1">
      <c r="A49" s="42">
        <v>37.0</v>
      </c>
      <c r="B49" s="43" t="s">
        <v>669</v>
      </c>
      <c r="C49" s="42">
        <v>1.0</v>
      </c>
      <c r="D49" s="43" t="s">
        <v>670</v>
      </c>
      <c r="E49" s="43" t="str">
        <f>IFERROR(__xludf.DUMMYFUNCTION("AI(""summarize the clustering rationale"", D49)"),"The rationale focuses on the broader societal context of AI use, including how social surroundings perceive AI systems and individuals, and the impact on the community.")</f>
        <v>The rationale focuses on the broader societal context of AI use, including how social surroundings perceive AI systems and individuals, and the impact on the community.</v>
      </c>
      <c r="F49" s="43" t="s">
        <v>334</v>
      </c>
    </row>
    <row r="50" ht="22.5" customHeight="1">
      <c r="A50" s="42">
        <v>37.0</v>
      </c>
      <c r="B50" s="43" t="s">
        <v>671</v>
      </c>
      <c r="C50" s="42">
        <v>1.0</v>
      </c>
      <c r="D50" s="43" t="s">
        <v>672</v>
      </c>
      <c r="E50" s="43" t="str">
        <f>IFERROR(__xludf.DUMMYFUNCTION("AI(""summarize the clustering rationale"", D50)"),"The clustering rationale groups internal traits influencing individual adoption behavior, such as Knowledge sharing tendency, Personal self-image, Personal development concern, Using system experience, ICT / AI knowledge, and ICT competence.")</f>
        <v>The clustering rationale groups internal traits influencing individual adoption behavior, such as Knowledge sharing tendency, Personal self-image, Personal development concern, Using system experience, ICT / AI knowledge, and ICT competence.</v>
      </c>
      <c r="F50" s="43" t="s">
        <v>334</v>
      </c>
    </row>
    <row r="51" ht="22.5" customHeight="1">
      <c r="A51" s="42">
        <v>37.0</v>
      </c>
      <c r="B51" s="43" t="s">
        <v>673</v>
      </c>
      <c r="C51" s="42">
        <v>1.0</v>
      </c>
      <c r="D51" s="43" t="s">
        <v>674</v>
      </c>
      <c r="E51" s="43" t="str">
        <f>IFERROR(__xludf.DUMMYFUNCTION("AI(""summarize the clustering rationale"", D51)"),"The rationale groups this financial success measure with ""Benefits of AI systems"" but keeps it separate to emphasize the financial aspect.")</f>
        <v>The rationale groups this financial success measure with "Benefits of AI systems" but keeps it separate to emphasize the financial aspect.</v>
      </c>
      <c r="F51" s="43" t="s">
        <v>334</v>
      </c>
    </row>
    <row r="52" ht="22.5" customHeight="1">
      <c r="A52" s="42">
        <v>37.0</v>
      </c>
      <c r="B52" s="43" t="s">
        <v>675</v>
      </c>
      <c r="C52" s="42">
        <v>1.0</v>
      </c>
      <c r="D52" s="43" t="s">
        <v>676</v>
      </c>
      <c r="E52" s="43" t="str">
        <f>IFERROR(__xludf.DUMMYFUNCTION("AI(""summarize the clustering rationale"", D52)"),"The grouping combines 'Technology affordance' and 'Technology constraints,' representing the technology's beneficial and limiting aspects.")</f>
        <v>The grouping combines 'Technology affordance' and 'Technology constraints,' representing the technology's beneficial and limiting aspects.</v>
      </c>
      <c r="F52" s="43" t="s">
        <v>389</v>
      </c>
    </row>
    <row r="53" ht="22.5" customHeight="1">
      <c r="A53" s="42">
        <v>37.0</v>
      </c>
      <c r="B53" s="43" t="s">
        <v>677</v>
      </c>
      <c r="C53" s="42">
        <v>1.0</v>
      </c>
      <c r="D53" s="43" t="s">
        <v>678</v>
      </c>
      <c r="E53" s="43" t="str">
        <f>IFERROR(__xludf.DUMMYFUNCTION("AI(""summarize the clustering rationale"", D53)"),"This group relates to the quality of the AI service delivery and interaction, including 'AI service experience (AE)', 'AI interaction quality (AE1)', 'AI Information quality (AE2)', and 'AI system quality (AE3)'.")</f>
        <v>This group relates to the quality of the AI service delivery and interaction, including 'AI service experience (AE)', 'AI interaction quality (AE1)', 'AI Information quality (AE2)', and 'AI system quality (AE3)'.</v>
      </c>
      <c r="F53" s="43" t="s">
        <v>396</v>
      </c>
    </row>
    <row r="54" ht="22.5" customHeight="1">
      <c r="A54" s="42">
        <v>37.0</v>
      </c>
      <c r="B54" s="43" t="s">
        <v>679</v>
      </c>
      <c r="C54" s="42">
        <v>1.0</v>
      </c>
      <c r="D54" s="43" t="s">
        <v>680</v>
      </c>
      <c r="E54" s="43" t="str">
        <f>IFERROR(__xludf.DUMMYFUNCTION("AI(""summarize the clustering rationale"", D54)"),"The AI system's ability to personalize its output for the individual user.")</f>
        <v>The AI system's ability to personalize its output for the individual user.</v>
      </c>
      <c r="F54" s="43" t="s">
        <v>396</v>
      </c>
    </row>
    <row r="55" ht="22.5" customHeight="1">
      <c r="A55" s="42">
        <v>37.0</v>
      </c>
      <c r="B55" s="43" t="s">
        <v>681</v>
      </c>
      <c r="C55" s="42">
        <v>1.0</v>
      </c>
      <c r="D55" s="43" t="s">
        <v>682</v>
      </c>
      <c r="E55" s="43" t="str">
        <f>IFERROR(__xludf.DUMMYFUNCTION("AI(""summarize the clustering rationale"", D55)"),"Pleasure or enjoyment from using the AI.")</f>
        <v>Pleasure or enjoyment from using the AI.</v>
      </c>
      <c r="F55" s="43" t="s">
        <v>396</v>
      </c>
    </row>
    <row r="56" ht="22.5" customHeight="1">
      <c r="A56" s="42">
        <v>37.0</v>
      </c>
      <c r="B56" s="43" t="s">
        <v>683</v>
      </c>
      <c r="C56" s="42">
        <v>1.0</v>
      </c>
      <c r="D56" s="43" t="s">
        <v>684</v>
      </c>
      <c r="E56" s="43" t="str">
        <f>IFERROR(__xludf.DUMMYFUNCTION("AI(""summarize the clustering rationale"", D56)"),"Routine or automatic nature of AI system use.")</f>
        <v>Routine or automatic nature of AI system use.</v>
      </c>
      <c r="F56" s="43" t="s">
        <v>396</v>
      </c>
    </row>
    <row r="57" ht="22.5" customHeight="1">
      <c r="A57" s="42">
        <v>37.0</v>
      </c>
      <c r="B57" s="43" t="s">
        <v>685</v>
      </c>
      <c r="C57" s="42">
        <v>1.0</v>
      </c>
      <c r="D57" s="43" t="s">
        <v>686</v>
      </c>
      <c r="E57" s="43" t="str">
        <f>IFERROR(__xludf.DUMMYFUNCTION("AI(""summarize the clustering rationale"", D57)"),"Perception that necessary resources and support are available for use (from UTAUT).")</f>
        <v>Perception that necessary resources and support are available for use (from UTAUT).</v>
      </c>
      <c r="F57" s="43" t="s">
        <v>687</v>
      </c>
    </row>
    <row r="58" ht="22.5" customHeight="1">
      <c r="A58" s="42">
        <v>37.0</v>
      </c>
      <c r="B58" s="43" t="s">
        <v>688</v>
      </c>
      <c r="C58" s="42">
        <v>1.0</v>
      </c>
      <c r="D58" s="43" t="s">
        <v>689</v>
      </c>
      <c r="E58" s="43" t="str">
        <f>IFERROR(__xludf.DUMMYFUNCTION("AI(""summarize the clustering rationale"", D58)"),"The rationale is to group 'Sociodemographic - experience (SD4.1)', 'Sociodemographic - age (SD4.2)', and 'Sociodemographic - education level (SD4.3)' because they are demographic variables commonly used as control or predictor variables.")</f>
        <v>The rationale is to group 'Sociodemographic - experience (SD4.1)', 'Sociodemographic - age (SD4.2)', and 'Sociodemographic - education level (SD4.3)' because they are demographic variables commonly used as control or predictor variables.</v>
      </c>
      <c r="F58" s="43" t="s">
        <v>396</v>
      </c>
    </row>
    <row r="59" ht="22.5" customHeight="1">
      <c r="A59" s="42">
        <v>37.0</v>
      </c>
      <c r="B59" s="43" t="s">
        <v>690</v>
      </c>
      <c r="C59" s="42">
        <v>1.0</v>
      </c>
      <c r="D59" s="43" t="s">
        <v>691</v>
      </c>
      <c r="E59" s="43" t="str">
        <f>IFERROR(__xludf.DUMMYFUNCTION("AI(""summarize the clustering rationale"", D59)"),"The organizational group includes 'Performance Measures', 'Investment', 'Product Complexity', 'Batch Size', and 'R&amp;D Intensity', which are identified as firm-specific structural attributes.")</f>
        <v>The organizational group includes 'Performance Measures', 'Investment', 'Product Complexity', 'Batch Size', and 'R&amp;D Intensity', which are identified as firm-specific structural attributes.</v>
      </c>
      <c r="F59" s="43" t="s">
        <v>425</v>
      </c>
    </row>
    <row r="60" ht="22.5" customHeight="1">
      <c r="A60" s="42">
        <v>37.0</v>
      </c>
      <c r="B60" s="43" t="s">
        <v>692</v>
      </c>
      <c r="C60" s="42">
        <v>1.0</v>
      </c>
      <c r="D60" s="43" t="s">
        <v>693</v>
      </c>
      <c r="E60" s="43" t="str">
        <f>IFERROR(__xludf.DUMMYFUNCTION("AI(""summarize the clustering rationale"", D60)"),"The organizational group is based on non-structural capacity for change, including 'Change Management', 'Strategic Promoter', 'Strategic Orientation', 'Education and Training', and 'Mindset'.")</f>
        <v>The organizational group is based on non-structural capacity for change, including 'Change Management', 'Strategic Promoter', 'Strategic Orientation', 'Education and Training', and 'Mindset'.</v>
      </c>
      <c r="F60" s="43" t="s">
        <v>425</v>
      </c>
    </row>
    <row r="61" ht="22.5" customHeight="1">
      <c r="A61" s="42">
        <v>37.0</v>
      </c>
      <c r="B61" s="43" t="s">
        <v>441</v>
      </c>
      <c r="C61" s="42">
        <v>1.0</v>
      </c>
      <c r="D61" s="43" t="s">
        <v>694</v>
      </c>
      <c r="E61" s="43" t="str">
        <f>IFERROR(__xludf.DUMMYFUNCTION("AI(""summarize the clustering rationale"", D61)"),"General term for ease of use, closely related to PEOU/EE but retained separately due to specific source use.")</f>
        <v>General term for ease of use, closely related to PEOU/EE but retained separately due to specific source use.</v>
      </c>
      <c r="F61" s="43" t="s">
        <v>425</v>
      </c>
    </row>
    <row r="62" ht="22.5" customHeight="1">
      <c r="A62" s="42">
        <v>37.0</v>
      </c>
      <c r="B62" s="43" t="s">
        <v>443</v>
      </c>
      <c r="C62" s="42">
        <v>1.0</v>
      </c>
      <c r="D62" s="43" t="s">
        <v>695</v>
      </c>
      <c r="E62" s="43" t="str">
        <f>IFERROR(__xludf.DUMMYFUNCTION("AI(""summarize the clustering rationale"", D62)"),"Physical or operational security of the AI system, distinct from data security.")</f>
        <v>Physical or operational security of the AI system, distinct from data security.</v>
      </c>
      <c r="F62" s="43" t="s">
        <v>425</v>
      </c>
    </row>
    <row r="63" ht="22.5" customHeight="1">
      <c r="A63" s="42">
        <v>37.0</v>
      </c>
      <c r="B63" s="43" t="s">
        <v>696</v>
      </c>
      <c r="C63" s="42">
        <v>1.0</v>
      </c>
      <c r="D63" s="43" t="s">
        <v>697</v>
      </c>
      <c r="E63" s="43" t="str">
        <f>IFERROR(__xludf.DUMMYFUNCTION("AI(""summarize the clustering rationale"", D63)"),"Environmental factor related to the adopting firm's industry and national context.")</f>
        <v>Environmental factor related to the adopting firm's industry and national context.</v>
      </c>
      <c r="F63" s="43" t="s">
        <v>425</v>
      </c>
    </row>
    <row r="64" ht="22.5" customHeight="1">
      <c r="A64" s="42">
        <v>37.0</v>
      </c>
      <c r="B64" s="43" t="s">
        <v>698</v>
      </c>
      <c r="C64" s="42">
        <v>1.0</v>
      </c>
      <c r="D64" s="43" t="s">
        <v>699</v>
      </c>
      <c r="E64" s="43" t="str">
        <f>IFERROR(__xludf.DUMMYFUNCTION("AI(""summarize the clustering rationale"", D64)"),"The clustering rationale relates to the technical factor of data quality and presence for AI, grouping together various data-related elements like availability, consistency, governance, interoperability, processing, analytics, and storage.")</f>
        <v>The clustering rationale relates to the technical factor of data quality and presence for AI, grouping together various data-related elements like availability, consistency, governance, interoperability, processing, analytics, and storage.</v>
      </c>
      <c r="F64" s="43" t="s">
        <v>425</v>
      </c>
    </row>
    <row r="65" ht="22.5" customHeight="1">
      <c r="A65" s="42">
        <v>37.0</v>
      </c>
      <c r="B65" s="43" t="s">
        <v>700</v>
      </c>
      <c r="C65" s="42">
        <v>1.0</v>
      </c>
      <c r="D65" s="43" t="s">
        <v>701</v>
      </c>
      <c r="E65" s="43" t="str">
        <f>IFERROR(__xludf.DUMMYFUNCTION("AI(""summarize the clustering rationale"", D65)"),"The rationale is based on public or customer confidence in AI.")</f>
        <v>The rationale is based on public or customer confidence in AI.</v>
      </c>
      <c r="F65" s="43" t="s">
        <v>460</v>
      </c>
    </row>
    <row r="66" ht="22.5" customHeight="1">
      <c r="A66" s="42">
        <v>37.0</v>
      </c>
      <c r="B66" s="43" t="s">
        <v>702</v>
      </c>
      <c r="C66" s="42">
        <v>1.0</v>
      </c>
      <c r="D66" s="43" t="s">
        <v>703</v>
      </c>
      <c r="E66" s="43" t="str">
        <f>IFERROR(__xludf.DUMMYFUNCTION("AI(""summarize the clustering rationale"", D66)"),"General industry or public acceptance of new AI-related regulations.")</f>
        <v>General industry or public acceptance of new AI-related regulations.</v>
      </c>
      <c r="F66" s="43" t="s">
        <v>460</v>
      </c>
    </row>
    <row r="67" ht="22.5" customHeight="1">
      <c r="A67" s="42">
        <v>37.0</v>
      </c>
      <c r="B67" s="43" t="s">
        <v>704</v>
      </c>
      <c r="C67" s="42">
        <v>1.0</v>
      </c>
      <c r="D67" s="43" t="s">
        <v>705</v>
      </c>
      <c r="E67" s="43" t="str">
        <f>IFERROR(__xludf.DUMMYFUNCTION("AI(""summarize the clustering rationale"", D67)"),"Lack of clear financial or strategic justification for AI adoption is the reason for retaining this organizational barrier.")</f>
        <v>Lack of clear financial or strategic justification for AI adoption is the reason for retaining this organizational barrier.</v>
      </c>
      <c r="F67" s="43" t="s">
        <v>460</v>
      </c>
    </row>
    <row r="68" ht="22.5" customHeight="1">
      <c r="A68" s="42">
        <v>37.0</v>
      </c>
      <c r="B68" s="43" t="s">
        <v>706</v>
      </c>
      <c r="C68" s="42">
        <v>1.0</v>
      </c>
      <c r="D68" s="43" t="s">
        <v>707</v>
      </c>
      <c r="E68" s="43" t="str">
        <f>IFERROR(__xludf.DUMMYFUNCTION("AI(""summarize the clustering rationale"", D68)"),"The barrier is a negative instance of Top Management Support, kept separate to emphasize its nature as a barrier instead of an enabler.")</f>
        <v>The barrier is a negative instance of Top Management Support, kept separate to emphasize its nature as a barrier instead of an enabler.</v>
      </c>
      <c r="F68" s="43" t="s">
        <v>460</v>
      </c>
    </row>
    <row r="69" ht="22.5" customHeight="1">
      <c r="A69" s="42">
        <v>37.0</v>
      </c>
      <c r="B69" s="43" t="s">
        <v>432</v>
      </c>
      <c r="C69" s="42">
        <v>1.0</v>
      </c>
      <c r="D69" s="43" t="s">
        <v>708</v>
      </c>
      <c r="E69" s="43" t="str">
        <f>IFERROR(__xludf.DUMMYFUNCTION("AI(""summarize the clustering rationale"", D69)"),"This factor is a duplicate and is closely related to Top Management Support.")</f>
        <v>This factor is a duplicate and is closely related to Top Management Support.</v>
      </c>
      <c r="F69" s="43" t="s">
        <v>483</v>
      </c>
    </row>
    <row r="70" ht="22.5" customHeight="1">
      <c r="A70" s="42">
        <v>37.0</v>
      </c>
      <c r="B70" s="43" t="s">
        <v>472</v>
      </c>
      <c r="C70" s="42">
        <v>1.0</v>
      </c>
      <c r="D70" s="43" t="s">
        <v>709</v>
      </c>
      <c r="E70" s="43" t="str">
        <f>IFERROR(__xludf.DUMMYFUNCTION("AI(""summarize the clustering rationale"", D70)"),"Retaining the direct measure of user disposition toward the technology.")</f>
        <v>Retaining the direct measure of user disposition toward the technology.</v>
      </c>
      <c r="F70" s="43" t="s">
        <v>470</v>
      </c>
    </row>
    <row r="71" ht="22.5" customHeight="1">
      <c r="A71" s="42">
        <v>37.0</v>
      </c>
      <c r="B71" s="43" t="s">
        <v>710</v>
      </c>
      <c r="C71" s="42">
        <v>1.0</v>
      </c>
      <c r="D71" s="43" t="s">
        <v>711</v>
      </c>
      <c r="E71" s="43" t="str">
        <f>IFERROR(__xludf.DUMMYFUNCTION("AI(""summarize the clustering rationale"", D71)"),"User's feeling of having agency over the AI system and its outcomes.")</f>
        <v>User's feeling of having agency over the AI system and its outcomes.</v>
      </c>
      <c r="F71" s="43" t="s">
        <v>470</v>
      </c>
    </row>
    <row r="72" ht="22.5" customHeight="1">
      <c r="A72" s="42">
        <v>37.0</v>
      </c>
      <c r="B72" s="43" t="s">
        <v>712</v>
      </c>
      <c r="C72" s="42">
        <v>1.0</v>
      </c>
      <c r="D72" s="43" t="s">
        <v>713</v>
      </c>
      <c r="E72" s="43" t="str">
        <f>IFERROR(__xludf.DUMMYFUNCTION("AI(""summarize the clustering rationale"", D72)"),"User preference acting as a barrier to AI service adoption.")</f>
        <v>User preference acting as a barrier to AI service adoption.</v>
      </c>
      <c r="F72" s="43" t="s">
        <v>470</v>
      </c>
    </row>
    <row r="73" ht="22.5" customHeight="1">
      <c r="A73" s="42">
        <v>37.0</v>
      </c>
      <c r="B73" s="43" t="s">
        <v>515</v>
      </c>
      <c r="C73" s="42">
        <v>1.0</v>
      </c>
      <c r="D73" s="43" t="s">
        <v>714</v>
      </c>
      <c r="E73" s="43" t="str">
        <f>IFERROR(__xludf.DUMMYFUNCTION("AI(""summarize the clustering rationale"", D73)"),"Measures the perceived optionality of use based on the UTAUT individual factor.")</f>
        <v>Measures the perceived optionality of use based on the UTAUT individual factor.</v>
      </c>
      <c r="F73" s="43" t="s">
        <v>514</v>
      </c>
    </row>
    <row r="74" ht="22.5" customHeight="1">
      <c r="A74" s="42">
        <v>37.0</v>
      </c>
      <c r="B74" s="43" t="s">
        <v>516</v>
      </c>
      <c r="C74" s="42">
        <v>1.0</v>
      </c>
      <c r="D74" s="43" t="s">
        <v>715</v>
      </c>
      <c r="E74" s="43" t="str">
        <f>IFERROR(__xludf.DUMMYFUNCTION("AI(""summarize the clustering rationale"", D74)"),"Relates to the status or social standing gained from using the AI.")</f>
        <v>Relates to the status or social standing gained from using the AI.</v>
      </c>
      <c r="F74" s="43" t="s">
        <v>514</v>
      </c>
    </row>
    <row r="75" ht="22.5" customHeight="1">
      <c r="A75" s="42">
        <v>37.0</v>
      </c>
      <c r="B75" s="43" t="s">
        <v>518</v>
      </c>
      <c r="C75" s="42">
        <v>1.0</v>
      </c>
      <c r="D75" s="43" t="s">
        <v>716</v>
      </c>
      <c r="E75" s="43" t="str">
        <f>IFERROR(__xludf.DUMMYFUNCTION("AI(""summarize the clustering rationale"", D75)"),"The rationale refers to the ability to experiment with the AI on a limited basis.")</f>
        <v>The rationale refers to the ability to experiment with the AI on a limited basis.</v>
      </c>
      <c r="F75" s="43" t="s">
        <v>514</v>
      </c>
    </row>
    <row r="76" ht="22.5" customHeight="1">
      <c r="A76" s="42">
        <v>37.0</v>
      </c>
      <c r="B76" s="43" t="s">
        <v>717</v>
      </c>
      <c r="C76" s="42">
        <v>1.0</v>
      </c>
      <c r="D76" s="43" t="s">
        <v>718</v>
      </c>
      <c r="E76" s="43" t="str">
        <f>IFERROR(__xludf.DUMMYFUNCTION("AI(""summarize the clustering rationale"", D76)"),"The clustering rationale relates to the certainty level in outsourcing decisions.")</f>
        <v>The clustering rationale relates to the certainty level in outsourcing decisions.</v>
      </c>
      <c r="F76" s="43" t="s">
        <v>522</v>
      </c>
    </row>
    <row r="77" ht="22.5" customHeight="1">
      <c r="A77" s="42">
        <v>37.0</v>
      </c>
      <c r="B77" s="43" t="s">
        <v>719</v>
      </c>
      <c r="C77" s="42">
        <v>1.0</v>
      </c>
      <c r="D77" s="43" t="s">
        <v>720</v>
      </c>
      <c r="E77" s="43" t="str">
        <f>IFERROR(__xludf.DUMMYFUNCTION("AI(""summarize the clustering rationale"", D77)"),"Influence of supply chain partners on AI adoption.")</f>
        <v>Influence of supply chain partners on AI adoption.</v>
      </c>
      <c r="F77" s="43" t="s">
        <v>522</v>
      </c>
    </row>
    <row r="78" ht="22.5" customHeight="1">
      <c r="A78" s="42">
        <v>37.0</v>
      </c>
      <c r="B78" s="43" t="s">
        <v>721</v>
      </c>
      <c r="C78" s="42">
        <v>1.0</v>
      </c>
      <c r="D78" s="43" t="s">
        <v>722</v>
      </c>
      <c r="E78" s="43" t="str">
        <f>IFERROR(__xludf.DUMMYFUNCTION("AI(""summarize the clustering rationale"", D78)"),"Refers to non-technical, cultural fit.")</f>
        <v>Refers to non-technical, cultural fit.</v>
      </c>
      <c r="F78" s="43" t="s">
        <v>522</v>
      </c>
    </row>
  </sheetData>
  <dataValidations>
    <dataValidation type="custom" allowBlank="1" showDropDown="1" sqref="A2:A78 C2:C78">
      <formula1>AND(ISNUMBER(A2),(NOT(OR(NOT(ISERROR(DATEVALUE(A2))), AND(ISNUMBER(A2), LEFT(CELL("format", A2))="D")))))</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37.63"/>
  </cols>
  <sheetData>
    <row r="1" ht="22.5" customHeight="1">
      <c r="A1" s="41" t="s">
        <v>723</v>
      </c>
      <c r="B1" s="41" t="s">
        <v>724</v>
      </c>
    </row>
    <row r="2" ht="22.5" customHeight="1">
      <c r="A2" s="43" t="s">
        <v>725</v>
      </c>
      <c r="B2" s="44" t="s">
        <v>726</v>
      </c>
    </row>
    <row r="3" ht="22.5" customHeight="1">
      <c r="A3" s="43" t="s">
        <v>399</v>
      </c>
      <c r="B3" s="44" t="s">
        <v>396</v>
      </c>
    </row>
    <row r="4" ht="22.5" customHeight="1">
      <c r="A4" s="43" t="s">
        <v>512</v>
      </c>
      <c r="B4" s="44" t="s">
        <v>508</v>
      </c>
    </row>
    <row r="5" ht="22.5" customHeight="1">
      <c r="A5" s="43" t="s">
        <v>398</v>
      </c>
      <c r="B5" s="44" t="s">
        <v>396</v>
      </c>
    </row>
    <row r="6" ht="22.5" customHeight="1">
      <c r="A6" s="43" t="s">
        <v>392</v>
      </c>
      <c r="B6" s="44" t="s">
        <v>389</v>
      </c>
    </row>
    <row r="7" ht="22.5" customHeight="1">
      <c r="A7" s="43" t="s">
        <v>395</v>
      </c>
      <c r="B7" s="44" t="s">
        <v>396</v>
      </c>
    </row>
    <row r="8" ht="22.5" customHeight="1">
      <c r="A8" s="43" t="s">
        <v>400</v>
      </c>
      <c r="B8" s="44" t="s">
        <v>396</v>
      </c>
    </row>
    <row r="9" ht="22.5" customHeight="1">
      <c r="A9" s="43" t="s">
        <v>536</v>
      </c>
      <c r="B9" s="44" t="s">
        <v>528</v>
      </c>
    </row>
    <row r="10" ht="22.5" customHeight="1">
      <c r="A10" s="43" t="s">
        <v>372</v>
      </c>
      <c r="B10" s="44" t="s">
        <v>334</v>
      </c>
    </row>
    <row r="11" ht="22.5" customHeight="1">
      <c r="A11" s="43" t="s">
        <v>374</v>
      </c>
      <c r="B11" s="44" t="s">
        <v>334</v>
      </c>
    </row>
    <row r="12" ht="22.5" customHeight="1">
      <c r="A12" s="43" t="s">
        <v>402</v>
      </c>
      <c r="B12" s="44" t="s">
        <v>396</v>
      </c>
    </row>
    <row r="13" ht="22.5" customHeight="1">
      <c r="A13" s="43" t="s">
        <v>477</v>
      </c>
      <c r="B13" s="44" t="s">
        <v>470</v>
      </c>
    </row>
    <row r="14" ht="22.5" customHeight="1">
      <c r="A14" s="43" t="s">
        <v>472</v>
      </c>
      <c r="B14" s="44" t="s">
        <v>470</v>
      </c>
    </row>
    <row r="15" ht="22.5" customHeight="1">
      <c r="A15" s="43" t="s">
        <v>429</v>
      </c>
      <c r="B15" s="44" t="s">
        <v>425</v>
      </c>
    </row>
    <row r="16" ht="22.5" customHeight="1">
      <c r="A16" s="43" t="s">
        <v>501</v>
      </c>
      <c r="B16" s="44" t="s">
        <v>610</v>
      </c>
    </row>
    <row r="17" ht="22.5" customHeight="1">
      <c r="A17" s="43" t="s">
        <v>379</v>
      </c>
      <c r="B17" s="44" t="s">
        <v>334</v>
      </c>
    </row>
    <row r="18" ht="22.5" customHeight="1">
      <c r="A18" s="43" t="s">
        <v>376</v>
      </c>
      <c r="B18" s="44" t="s">
        <v>334</v>
      </c>
    </row>
    <row r="19" ht="22.5" customHeight="1">
      <c r="A19" s="43" t="s">
        <v>431</v>
      </c>
      <c r="B19" s="44" t="s">
        <v>425</v>
      </c>
    </row>
    <row r="20" ht="22.5" customHeight="1">
      <c r="A20" s="43" t="s">
        <v>354</v>
      </c>
      <c r="B20" s="44" t="s">
        <v>334</v>
      </c>
    </row>
    <row r="21" ht="22.5" customHeight="1">
      <c r="A21" s="43" t="s">
        <v>727</v>
      </c>
      <c r="B21" s="44" t="s">
        <v>622</v>
      </c>
    </row>
    <row r="22" ht="22.5" customHeight="1">
      <c r="A22" s="43" t="s">
        <v>427</v>
      </c>
      <c r="B22" s="44" t="s">
        <v>425</v>
      </c>
    </row>
    <row r="23" ht="22.5" customHeight="1">
      <c r="A23" s="43" t="s">
        <v>728</v>
      </c>
      <c r="B23" s="44" t="s">
        <v>729</v>
      </c>
    </row>
    <row r="24" ht="22.5" customHeight="1">
      <c r="A24" s="43" t="s">
        <v>730</v>
      </c>
      <c r="B24" s="44" t="s">
        <v>731</v>
      </c>
    </row>
    <row r="25" ht="22.5" customHeight="1">
      <c r="A25" s="43" t="s">
        <v>454</v>
      </c>
      <c r="B25" s="44" t="s">
        <v>425</v>
      </c>
    </row>
    <row r="26" ht="22.5" customHeight="1">
      <c r="A26" s="43" t="s">
        <v>373</v>
      </c>
      <c r="B26" s="44" t="s">
        <v>334</v>
      </c>
    </row>
    <row r="27" ht="22.5" customHeight="1">
      <c r="A27" s="43" t="s">
        <v>378</v>
      </c>
      <c r="B27" s="44" t="s">
        <v>334</v>
      </c>
    </row>
    <row r="28" ht="22.5" customHeight="1">
      <c r="A28" s="43" t="s">
        <v>458</v>
      </c>
      <c r="B28" s="44" t="s">
        <v>425</v>
      </c>
    </row>
    <row r="29" ht="22.5" customHeight="1">
      <c r="A29" s="43" t="s">
        <v>732</v>
      </c>
      <c r="B29" s="44" t="s">
        <v>470</v>
      </c>
    </row>
    <row r="30" ht="22.5" customHeight="1">
      <c r="A30" s="43" t="s">
        <v>509</v>
      </c>
      <c r="B30" s="44" t="s">
        <v>508</v>
      </c>
    </row>
    <row r="31" ht="22.5" customHeight="1">
      <c r="A31" s="43" t="s">
        <v>535</v>
      </c>
      <c r="B31" s="44" t="s">
        <v>528</v>
      </c>
    </row>
    <row r="32" ht="22.5" customHeight="1">
      <c r="A32" s="43" t="s">
        <v>450</v>
      </c>
      <c r="B32" s="44" t="s">
        <v>425</v>
      </c>
    </row>
    <row r="33" ht="22.5" customHeight="1">
      <c r="A33" s="43" t="s">
        <v>445</v>
      </c>
      <c r="B33" s="44" t="s">
        <v>425</v>
      </c>
    </row>
    <row r="34" ht="22.5" customHeight="1">
      <c r="A34" s="43" t="s">
        <v>446</v>
      </c>
      <c r="B34" s="44" t="s">
        <v>425</v>
      </c>
    </row>
    <row r="35" ht="22.5" customHeight="1">
      <c r="A35" s="43" t="s">
        <v>447</v>
      </c>
      <c r="B35" s="44" t="s">
        <v>425</v>
      </c>
    </row>
    <row r="36" ht="22.5" customHeight="1">
      <c r="A36" s="43" t="s">
        <v>448</v>
      </c>
      <c r="B36" s="44" t="s">
        <v>425</v>
      </c>
    </row>
    <row r="37" ht="22.5" customHeight="1">
      <c r="A37" s="43" t="s">
        <v>449</v>
      </c>
      <c r="B37" s="44" t="s">
        <v>425</v>
      </c>
    </row>
    <row r="38" ht="22.5" customHeight="1">
      <c r="A38" s="43" t="s">
        <v>451</v>
      </c>
      <c r="B38" s="44" t="s">
        <v>425</v>
      </c>
    </row>
    <row r="39" ht="22.5" customHeight="1">
      <c r="A39" s="43" t="s">
        <v>537</v>
      </c>
      <c r="B39" s="44" t="s">
        <v>528</v>
      </c>
    </row>
    <row r="40" ht="22.5" customHeight="1">
      <c r="A40" s="43" t="s">
        <v>361</v>
      </c>
      <c r="B40" s="44" t="s">
        <v>334</v>
      </c>
    </row>
    <row r="41" ht="22.5" customHeight="1">
      <c r="A41" s="43" t="s">
        <v>497</v>
      </c>
      <c r="B41" s="44" t="s">
        <v>498</v>
      </c>
    </row>
    <row r="42" ht="22.5" customHeight="1">
      <c r="A42" s="43" t="s">
        <v>493</v>
      </c>
      <c r="B42" s="44" t="s">
        <v>733</v>
      </c>
    </row>
    <row r="43" ht="22.5" customHeight="1">
      <c r="A43" s="43" t="s">
        <v>456</v>
      </c>
      <c r="B43" s="44" t="s">
        <v>425</v>
      </c>
    </row>
    <row r="44" ht="22.5" customHeight="1">
      <c r="A44" s="43" t="s">
        <v>494</v>
      </c>
      <c r="B44" s="44" t="s">
        <v>733</v>
      </c>
    </row>
    <row r="45" ht="22.5" customHeight="1">
      <c r="A45" s="43" t="s">
        <v>529</v>
      </c>
      <c r="B45" s="44" t="s">
        <v>528</v>
      </c>
    </row>
    <row r="46" ht="22.5" customHeight="1">
      <c r="A46" s="43" t="s">
        <v>499</v>
      </c>
      <c r="B46" s="44" t="s">
        <v>498</v>
      </c>
    </row>
    <row r="47" ht="22.5" customHeight="1">
      <c r="A47" s="43" t="s">
        <v>419</v>
      </c>
      <c r="B47" s="44" t="s">
        <v>396</v>
      </c>
    </row>
    <row r="48" ht="22.5" customHeight="1">
      <c r="A48" s="43" t="s">
        <v>312</v>
      </c>
      <c r="B48" s="44" t="s">
        <v>622</v>
      </c>
    </row>
    <row r="49" ht="22.5" customHeight="1">
      <c r="A49" s="43" t="s">
        <v>734</v>
      </c>
      <c r="B49" s="44" t="s">
        <v>622</v>
      </c>
    </row>
    <row r="50" ht="22.5" customHeight="1">
      <c r="A50" s="43" t="s">
        <v>352</v>
      </c>
      <c r="B50" s="44" t="s">
        <v>334</v>
      </c>
    </row>
    <row r="51" ht="22.5" customHeight="1">
      <c r="A51" s="43" t="s">
        <v>455</v>
      </c>
      <c r="B51" s="44" t="s">
        <v>425</v>
      </c>
    </row>
    <row r="52" ht="22.5" customHeight="1">
      <c r="A52" s="43" t="s">
        <v>488</v>
      </c>
      <c r="B52" s="44" t="s">
        <v>483</v>
      </c>
    </row>
    <row r="53" ht="22.5" customHeight="1">
      <c r="A53" s="43" t="s">
        <v>370</v>
      </c>
      <c r="B53" s="44" t="s">
        <v>334</v>
      </c>
    </row>
    <row r="54" ht="22.5" customHeight="1">
      <c r="A54" s="43" t="s">
        <v>411</v>
      </c>
      <c r="B54" s="44" t="s">
        <v>396</v>
      </c>
    </row>
    <row r="55" ht="22.5" customHeight="1">
      <c r="A55" s="43" t="s">
        <v>409</v>
      </c>
      <c r="B55" s="44" t="s">
        <v>396</v>
      </c>
    </row>
    <row r="56" ht="22.5" customHeight="1">
      <c r="A56" s="43" t="s">
        <v>439</v>
      </c>
      <c r="B56" s="44" t="s">
        <v>425</v>
      </c>
    </row>
    <row r="57" ht="22.5" customHeight="1">
      <c r="A57" s="43" t="s">
        <v>516</v>
      </c>
      <c r="B57" s="44" t="s">
        <v>514</v>
      </c>
    </row>
    <row r="58" ht="22.5" customHeight="1">
      <c r="A58" s="43" t="s">
        <v>348</v>
      </c>
      <c r="B58" s="44" t="s">
        <v>334</v>
      </c>
    </row>
    <row r="59" ht="22.5" customHeight="1">
      <c r="A59" s="43" t="s">
        <v>457</v>
      </c>
      <c r="B59" s="44" t="s">
        <v>425</v>
      </c>
    </row>
    <row r="60" ht="22.5" customHeight="1">
      <c r="A60" s="43" t="s">
        <v>437</v>
      </c>
      <c r="B60" s="44" t="s">
        <v>604</v>
      </c>
    </row>
    <row r="61" ht="22.5" customHeight="1">
      <c r="A61" s="43" t="s">
        <v>391</v>
      </c>
      <c r="B61" s="44" t="s">
        <v>389</v>
      </c>
    </row>
    <row r="62" ht="22.5" customHeight="1">
      <c r="A62" s="43" t="s">
        <v>426</v>
      </c>
      <c r="B62" s="44" t="s">
        <v>425</v>
      </c>
    </row>
    <row r="63" ht="22.5" customHeight="1">
      <c r="A63" s="43" t="s">
        <v>340</v>
      </c>
      <c r="B63" s="44" t="s">
        <v>334</v>
      </c>
    </row>
    <row r="64" ht="22.5" customHeight="1">
      <c r="A64" s="43" t="s">
        <v>735</v>
      </c>
      <c r="B64" s="44" t="s">
        <v>619</v>
      </c>
    </row>
    <row r="65" ht="22.5" customHeight="1">
      <c r="A65" s="43" t="s">
        <v>365</v>
      </c>
      <c r="B65" s="44" t="s">
        <v>619</v>
      </c>
    </row>
    <row r="66" ht="22.5" customHeight="1">
      <c r="A66" s="43" t="s">
        <v>382</v>
      </c>
      <c r="B66" s="44" t="s">
        <v>334</v>
      </c>
    </row>
    <row r="67" ht="22.5" customHeight="1">
      <c r="A67" s="43" t="s">
        <v>438</v>
      </c>
      <c r="B67" s="44" t="s">
        <v>425</v>
      </c>
    </row>
    <row r="68" ht="22.5" customHeight="1">
      <c r="A68" s="43" t="s">
        <v>510</v>
      </c>
      <c r="B68" s="44" t="s">
        <v>508</v>
      </c>
    </row>
    <row r="69" ht="22.5" customHeight="1">
      <c r="A69" s="43" t="s">
        <v>504</v>
      </c>
      <c r="B69" s="44" t="s">
        <v>502</v>
      </c>
    </row>
    <row r="70" ht="22.5" customHeight="1">
      <c r="A70" s="43" t="s">
        <v>556</v>
      </c>
      <c r="B70" s="44" t="s">
        <v>736</v>
      </c>
    </row>
    <row r="71" ht="22.5" customHeight="1">
      <c r="A71" s="43" t="s">
        <v>487</v>
      </c>
      <c r="B71" s="44" t="s">
        <v>483</v>
      </c>
    </row>
    <row r="72" ht="22.5" customHeight="1">
      <c r="A72" s="43" t="s">
        <v>521</v>
      </c>
      <c r="B72" s="44" t="s">
        <v>522</v>
      </c>
    </row>
    <row r="73" ht="22.5" customHeight="1">
      <c r="A73" s="43" t="s">
        <v>329</v>
      </c>
      <c r="B73" s="44" t="s">
        <v>304</v>
      </c>
    </row>
    <row r="74" ht="22.5" customHeight="1">
      <c r="A74" s="43" t="s">
        <v>737</v>
      </c>
      <c r="B74" s="44" t="s">
        <v>654</v>
      </c>
    </row>
    <row r="75" ht="22.5" customHeight="1">
      <c r="A75" s="43" t="s">
        <v>738</v>
      </c>
      <c r="B75" s="44" t="s">
        <v>739</v>
      </c>
    </row>
    <row r="76" ht="22.5" customHeight="1">
      <c r="A76" s="43" t="s">
        <v>475</v>
      </c>
      <c r="B76" s="44" t="s">
        <v>470</v>
      </c>
    </row>
    <row r="77" ht="22.5" customHeight="1">
      <c r="A77" s="43" t="s">
        <v>316</v>
      </c>
      <c r="B77" s="44" t="s">
        <v>622</v>
      </c>
    </row>
    <row r="78" ht="22.5" customHeight="1">
      <c r="A78" s="43" t="s">
        <v>338</v>
      </c>
      <c r="B78" s="44" t="s">
        <v>334</v>
      </c>
    </row>
    <row r="79" ht="22.5" customHeight="1">
      <c r="A79" s="43" t="s">
        <v>346</v>
      </c>
      <c r="B79" s="44" t="s">
        <v>334</v>
      </c>
    </row>
    <row r="80" ht="22.5" customHeight="1">
      <c r="A80" s="43" t="s">
        <v>347</v>
      </c>
      <c r="B80" s="44" t="s">
        <v>334</v>
      </c>
    </row>
    <row r="81" ht="22.5" customHeight="1">
      <c r="A81" s="43" t="s">
        <v>523</v>
      </c>
      <c r="B81" s="44" t="s">
        <v>522</v>
      </c>
    </row>
    <row r="82" ht="22.5" customHeight="1">
      <c r="A82" s="43" t="s">
        <v>424</v>
      </c>
      <c r="B82" s="44" t="s">
        <v>425</v>
      </c>
    </row>
    <row r="83" ht="22.5" customHeight="1">
      <c r="A83" s="43" t="s">
        <v>495</v>
      </c>
      <c r="B83" s="44" t="s">
        <v>496</v>
      </c>
    </row>
    <row r="84" ht="22.5" customHeight="1">
      <c r="A84" s="43" t="s">
        <v>404</v>
      </c>
      <c r="B84" s="44" t="s">
        <v>396</v>
      </c>
    </row>
    <row r="85" ht="22.5" customHeight="1">
      <c r="A85" s="43" t="s">
        <v>342</v>
      </c>
      <c r="B85" s="44" t="s">
        <v>334</v>
      </c>
    </row>
    <row r="86" ht="22.5" customHeight="1">
      <c r="A86" s="43" t="s">
        <v>313</v>
      </c>
      <c r="B86" s="44" t="s">
        <v>622</v>
      </c>
    </row>
    <row r="87" ht="22.5" customHeight="1">
      <c r="A87" s="43" t="s">
        <v>341</v>
      </c>
      <c r="B87" s="44" t="s">
        <v>334</v>
      </c>
    </row>
    <row r="88" ht="22.5" customHeight="1">
      <c r="A88" s="43" t="s">
        <v>401</v>
      </c>
      <c r="B88" s="44" t="s">
        <v>396</v>
      </c>
    </row>
    <row r="89" ht="22.5" customHeight="1">
      <c r="A89" s="43" t="s">
        <v>371</v>
      </c>
      <c r="B89" s="44" t="s">
        <v>334</v>
      </c>
    </row>
    <row r="90" ht="22.5" customHeight="1">
      <c r="A90" s="43" t="s">
        <v>479</v>
      </c>
      <c r="B90" s="44" t="s">
        <v>470</v>
      </c>
    </row>
    <row r="91" ht="22.5" customHeight="1">
      <c r="A91" s="43" t="s">
        <v>410</v>
      </c>
      <c r="B91" s="44" t="s">
        <v>396</v>
      </c>
    </row>
    <row r="92" ht="22.5" customHeight="1">
      <c r="A92" s="43" t="s">
        <v>444</v>
      </c>
      <c r="B92" s="44" t="s">
        <v>425</v>
      </c>
    </row>
    <row r="93" ht="22.5" customHeight="1">
      <c r="A93" s="43" t="s">
        <v>740</v>
      </c>
      <c r="B93" s="44" t="s">
        <v>389</v>
      </c>
    </row>
    <row r="94" ht="22.5" customHeight="1">
      <c r="A94" s="43" t="s">
        <v>741</v>
      </c>
      <c r="B94" s="44" t="s">
        <v>334</v>
      </c>
    </row>
    <row r="95" ht="22.5" customHeight="1">
      <c r="A95" s="43" t="s">
        <v>742</v>
      </c>
      <c r="B95" s="44" t="s">
        <v>743</v>
      </c>
    </row>
    <row r="96" ht="22.5" customHeight="1">
      <c r="A96" s="43" t="s">
        <v>482</v>
      </c>
      <c r="B96" s="44" t="s">
        <v>733</v>
      </c>
    </row>
    <row r="97" ht="22.5" customHeight="1">
      <c r="A97" s="43" t="s">
        <v>744</v>
      </c>
      <c r="B97" s="44" t="s">
        <v>334</v>
      </c>
    </row>
    <row r="98" ht="22.5" customHeight="1">
      <c r="A98" s="43" t="s">
        <v>745</v>
      </c>
      <c r="B98" s="44" t="s">
        <v>389</v>
      </c>
    </row>
    <row r="99" ht="22.5" customHeight="1">
      <c r="A99" s="43" t="s">
        <v>443</v>
      </c>
      <c r="B99" s="44" t="s">
        <v>425</v>
      </c>
    </row>
    <row r="100" ht="22.5" customHeight="1">
      <c r="A100" s="43" t="s">
        <v>746</v>
      </c>
      <c r="B100" s="44" t="s">
        <v>747</v>
      </c>
    </row>
    <row r="101" ht="22.5" customHeight="1">
      <c r="A101" s="43" t="s">
        <v>748</v>
      </c>
      <c r="B101" s="44" t="s">
        <v>396</v>
      </c>
    </row>
    <row r="102" ht="22.5" customHeight="1">
      <c r="A102" s="43" t="s">
        <v>749</v>
      </c>
      <c r="B102" s="44" t="s">
        <v>334</v>
      </c>
    </row>
    <row r="103" ht="22.5" customHeight="1">
      <c r="A103" s="43" t="s">
        <v>750</v>
      </c>
      <c r="B103" s="44" t="s">
        <v>514</v>
      </c>
    </row>
    <row r="104" ht="22.5" customHeight="1">
      <c r="A104" s="43" t="s">
        <v>634</v>
      </c>
      <c r="B104" s="44" t="s">
        <v>470</v>
      </c>
    </row>
    <row r="105" ht="22.5" customHeight="1">
      <c r="A105" s="43" t="s">
        <v>751</v>
      </c>
      <c r="B105" s="45" t="s">
        <v>729</v>
      </c>
    </row>
    <row r="106" ht="22.5" customHeight="1">
      <c r="A106" s="43" t="s">
        <v>752</v>
      </c>
      <c r="B106" s="44" t="s">
        <v>483</v>
      </c>
    </row>
    <row r="107" ht="22.5" customHeight="1">
      <c r="A107" s="43" t="s">
        <v>753</v>
      </c>
      <c r="B107" s="44" t="s">
        <v>528</v>
      </c>
    </row>
    <row r="108" ht="22.5" customHeight="1">
      <c r="A108" s="43" t="s">
        <v>754</v>
      </c>
      <c r="B108" s="44" t="s">
        <v>334</v>
      </c>
    </row>
    <row r="109" ht="22.5" customHeight="1">
      <c r="A109" s="43" t="s">
        <v>755</v>
      </c>
      <c r="B109" s="44" t="s">
        <v>304</v>
      </c>
    </row>
    <row r="110" ht="22.5" customHeight="1">
      <c r="A110" s="43" t="s">
        <v>544</v>
      </c>
      <c r="B110" s="44" t="s">
        <v>756</v>
      </c>
    </row>
    <row r="111" ht="22.5" customHeight="1">
      <c r="A111" s="43" t="s">
        <v>518</v>
      </c>
      <c r="B111" s="44" t="s">
        <v>502</v>
      </c>
    </row>
    <row r="112" ht="22.5" customHeight="1">
      <c r="A112" s="43" t="s">
        <v>473</v>
      </c>
      <c r="B112" s="44" t="s">
        <v>470</v>
      </c>
    </row>
    <row r="113" ht="22.5" customHeight="1">
      <c r="A113" s="43" t="s">
        <v>757</v>
      </c>
      <c r="B113" s="44" t="s">
        <v>334</v>
      </c>
    </row>
    <row r="114" ht="22.5" customHeight="1">
      <c r="A114" s="43" t="s">
        <v>758</v>
      </c>
      <c r="B114" s="44" t="s">
        <v>502</v>
      </c>
    </row>
  </sheetData>
  <dataValidations>
    <dataValidation type="list" allowBlank="1" sqref="B2:B114">
      <formula1>"(Khanfar et al.,2024), (Khanfar et al.,2025), (Heimberger et al, 2024), Alsheibani, S., Cheung, Y., &amp; Messom, C. (2018),(Pathak &amp; Bansal, 2024a) (figure 2),Chen &amp; Tajdini (2024),(Pathak &amp; Bansal, 2024a) (figure 2),(Yang, Blount &amp; Amrollahi, 2024),(Pathak "&amp;"&amp; Bansal, 2024a) (figure 2),(Pathak &amp; Bansal, 2024a) (figure 2),Ayinaddis (2025),(Khanfar et al.,2025),(Khanfar et al.,2025),(Pathak &amp; Bansal, 2024a) (figure 2),Kelly, Kaye &amp; Oviedo-Trespalacios (2023),Kelly, Kaye &amp; Oviedo-Trespalacios (2023),(Heimberger "&amp;"et al, 2024),Md. Mehedi Hasan Emon &amp; Tahsina Khan (2025), Yuen et al (2020),(Khanfar et al.,2025),(Khanfar et al.,2025),(Heimberger et al, 2024),(Khanfar et al.,2025),(Khanfar et al.,2024), (Khanfar et al.,2025),(Heimberger et al, 2024),(Khanfar et al.,20"&amp;"25), Alsheibani, S., Cheung, Y., &amp; Messom, C. (2018), Yuen et al (2020), Solaimani &amp; Swaak (2022),(Khanfar et al.,2025), (Yang, Blount &amp; Amrollahi, 2024), Phuoc (2022), Suddin Lada et al. (2023) (focus on SMEs), Alsheibani, S., Cheung, Y., &amp; Messom, C. (2"&amp;"018), Ingalagi et al. (2021), Ayinaddis (2025),(Heimberger et al, 2024),(Khanfar et al.,2025),(Khanfar et al.,2025),(Heimberger et al, 2024),Kelly, Kaye &amp; Oviedo-Trespalacios (2023),Chen &amp; Tajdini (2024),Ayinaddis (2025),(Heimberger et al, 2024),(Heimberg"&amp;"er et al, 2024),(Heimberger et al, 2024),(Heimberger et al, 2024),(Heimberger et al, 2024),(Heimberger et al, 2024),(Heimberger et al, 2024),Ayinaddis (2025),(Khanfar et al.,2025),Md. Mehedi Hasan Emon &amp; Tahsina Khan (2025),Suddin Lada et al. (2023), Inga"&amp;"lagi et al. (2021),(Heimberger et al, 2024),Suddin Lada et al. (2023), Ingalagi et al. (2021),Ayinaddis (2025),Md. Mehedi Hasan Emon &amp; Tahsina Khan (2025),(Pathak &amp; Bansal, 2024a) (figure 2),(Khanfar et al.,2024), (Khanfar et al.,2025),(Khanfar et al.,202"&amp;"4), (Khanfar et al.,2025),(Khanfar et al.,2025),(Heimberger et al, 2024),Phuoc (2022),(Khanfar et al.,2025),(Pathak &amp; Bansal, 2024a) (figure 2),(Pathak &amp; Bansal, 2024a) (figure 2),(Heimberger et al, 2024),Yuen et al (2020),(Khanfar et al.,2025),(Heimberge"&amp;"r et al, 2024),(Khanfar et al.,2024), (Khanfar et al.,2025), (Heimberger et al, 2024),(Yang, Blount &amp; Amrollahi, 2024),(Heimberger et al, 2024),(Khanfar et al.,2025),(Khanfar et al.,2025), Phuoc (2022),(Khanfar et al.,2025), Phuoc (2022),(Khanfar et al.,2"&amp;"025),(Heimberger et al, 2024),Chen &amp; Tajdini (2024),Alsheibani, S., Cheung, Y., &amp; Messom, C. (2018),(Khanfar et al.,2024), (Khanfar et al.,2025), Phuoc (2022), Suddin Lada et al. (2023), Ingalagi et al. (2021),Phuoc (2022),Solaimani &amp; Swaak (2022),(Khanfa"&amp;"r et al.,2024),(Pathak &amp; Bansal, 2024a) (figure 2), Kelly, Kaye &amp; Oviedo-Trespalacios (2023),(Khanfar et al.,2024), (Khanfar et al.,2025), (Pathak &amp; Bansal, 2024a) (figure 2), Kelly, Kaye &amp; Oviedo-Trespalacios (2023), Yuen et al (2020), Solaimani &amp; Swaak "&amp;"(2022),Kelly, Kaye &amp; Oviedo-Trespalacios (2023),(Khanfar et al.,2024), (Khanfar et al.,2025),(Khanfar et al.,2025),(Khanfar et al.,2025),(Khanfar et al.,2025),Solaimani &amp; Swaak (2022),(Heimberger et al, 2024),Md. Mehedi Hasan Emon &amp; Tahsina Khan (2025) (B"&amp;"angladesh focus),(Pathak &amp; Bansal, 2024a) (figure 2),(Khanfar et al.,2025),(Khanfar et al.,2024), (Khanfar et al.,2025),(Khanfar et al.,2025),(Pathak &amp; Bansal, 2024a) (figure 2),(Khanfar et al.,2025),Kelly, Kaye &amp; Oviedo-Trespalacios (2023),(Pathak &amp; Bans"&amp;"al, 2024a) (figure 2),(Heimberger et al, 2024),(Yang, Blount &amp; Amrollahi, 2024),(Khanfar et al.,2025),Alsheibani, S., Cheung, Y., &amp; Messom, C. (2018), Yuen et al (2020),Suddin Lada et al. (2023), Ingalagi et al. (2021),(Khanfar et al.,2025),(Yang, Blount "&amp;"&amp; Amrollahi, 2024),(Heimberger et al, 2024),(Khanfar et al.,2025), (Heimberger et al, 2024),(Pathak &amp; Bansal, 2024a) (figure 2),(Khanfar et al.,2025),Yuen et al (2020),Kelly, Kaye &amp; Oviedo-Trespalacios (2023),Suddin Lada et al. (2023), Ingalagi et al. (20"&amp;"21),Phuoc (2022),Ayinaddis (2025),(Khanfar et al.,2025),(Khanfar et al.,2024),(Khanfar et al.,2024), Ayinaddis (2025), (Heimberger et al, 2024), Phuoc (2022),Alsheibani, S., Cheung, Y., &amp; Messom, C. (2018),Kelly, Kaye &amp; Oviedo-Trespalacios (2023),(Khanfar"&amp;" et al.,2025),Alsheibani, S., Cheung, Y., &amp; Messom, C. (2018)"</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5"/>
    <col customWidth="1" min="2" max="2" width="37.63"/>
    <col customWidth="1" min="3" max="3" width="16.5"/>
    <col customWidth="1" min="4" max="4" width="37.63"/>
  </cols>
  <sheetData>
    <row r="1" ht="22.5" customHeight="1">
      <c r="A1" s="40" t="s">
        <v>538</v>
      </c>
      <c r="B1" s="41" t="s">
        <v>759</v>
      </c>
      <c r="C1" s="40" t="s">
        <v>540</v>
      </c>
      <c r="D1" s="41" t="s">
        <v>760</v>
      </c>
    </row>
    <row r="2" ht="22.5" customHeight="1">
      <c r="A2" s="46">
        <v>1.0</v>
      </c>
      <c r="B2" s="43" t="s">
        <v>730</v>
      </c>
      <c r="C2" s="46">
        <v>7.0</v>
      </c>
      <c r="D2" s="44" t="s">
        <v>731</v>
      </c>
    </row>
    <row r="3" ht="22.5" customHeight="1">
      <c r="A3" s="46">
        <v>2.0</v>
      </c>
      <c r="B3" s="43" t="s">
        <v>738</v>
      </c>
      <c r="C3" s="46">
        <v>6.0</v>
      </c>
      <c r="D3" s="44" t="s">
        <v>739</v>
      </c>
    </row>
    <row r="4" ht="22.5" customHeight="1">
      <c r="A4" s="46">
        <v>3.0</v>
      </c>
      <c r="B4" s="43" t="s">
        <v>556</v>
      </c>
      <c r="C4" s="46">
        <v>5.0</v>
      </c>
      <c r="D4" s="44" t="s">
        <v>736</v>
      </c>
    </row>
    <row r="5" ht="22.5" customHeight="1">
      <c r="A5" s="46">
        <v>4.0</v>
      </c>
      <c r="B5" s="43" t="s">
        <v>725</v>
      </c>
      <c r="C5" s="46">
        <v>4.0</v>
      </c>
      <c r="D5" s="44" t="s">
        <v>726</v>
      </c>
    </row>
    <row r="6" ht="22.5" customHeight="1">
      <c r="A6" s="46">
        <v>4.0</v>
      </c>
      <c r="B6" s="43" t="s">
        <v>751</v>
      </c>
      <c r="C6" s="46">
        <v>4.0</v>
      </c>
      <c r="D6" s="44" t="s">
        <v>729</v>
      </c>
    </row>
    <row r="7" ht="22.5" customHeight="1">
      <c r="A7" s="46">
        <v>4.0</v>
      </c>
      <c r="B7" s="43" t="s">
        <v>728</v>
      </c>
      <c r="C7" s="46">
        <v>4.0</v>
      </c>
      <c r="D7" s="44" t="s">
        <v>729</v>
      </c>
    </row>
    <row r="8" ht="22.5" customHeight="1">
      <c r="A8" s="46">
        <v>4.0</v>
      </c>
      <c r="B8" s="43" t="s">
        <v>544</v>
      </c>
      <c r="C8" s="46">
        <v>4.0</v>
      </c>
      <c r="D8" s="44" t="s">
        <v>756</v>
      </c>
    </row>
    <row r="9" ht="22.5" customHeight="1">
      <c r="A9" s="46">
        <v>5.0</v>
      </c>
      <c r="B9" s="43" t="s">
        <v>437</v>
      </c>
      <c r="C9" s="46">
        <v>3.0</v>
      </c>
      <c r="D9" s="44" t="s">
        <v>604</v>
      </c>
    </row>
    <row r="10" ht="22.5" customHeight="1">
      <c r="A10" s="46">
        <v>6.0</v>
      </c>
      <c r="B10" s="43" t="s">
        <v>737</v>
      </c>
      <c r="C10" s="46">
        <v>2.0</v>
      </c>
      <c r="D10" s="44" t="s">
        <v>654</v>
      </c>
    </row>
    <row r="11" ht="22.5" customHeight="1">
      <c r="A11" s="46">
        <v>6.0</v>
      </c>
      <c r="B11" s="43" t="s">
        <v>734</v>
      </c>
      <c r="C11" s="46">
        <v>2.0</v>
      </c>
      <c r="D11" s="44" t="s">
        <v>622</v>
      </c>
    </row>
    <row r="12" ht="22.5" customHeight="1">
      <c r="A12" s="46">
        <v>6.0</v>
      </c>
      <c r="B12" s="43" t="s">
        <v>727</v>
      </c>
      <c r="C12" s="46">
        <v>2.0</v>
      </c>
      <c r="D12" s="44" t="s">
        <v>622</v>
      </c>
    </row>
    <row r="13" ht="22.5" customHeight="1">
      <c r="A13" s="46">
        <v>6.0</v>
      </c>
      <c r="B13" s="43" t="s">
        <v>316</v>
      </c>
      <c r="C13" s="46">
        <v>2.0</v>
      </c>
      <c r="D13" s="44" t="s">
        <v>622</v>
      </c>
    </row>
    <row r="14" ht="22.5" customHeight="1">
      <c r="A14" s="46">
        <v>6.0</v>
      </c>
      <c r="B14" s="43" t="s">
        <v>494</v>
      </c>
      <c r="C14" s="46">
        <v>2.0</v>
      </c>
      <c r="D14" s="44" t="s">
        <v>733</v>
      </c>
    </row>
    <row r="15" ht="22.5" customHeight="1">
      <c r="A15" s="46">
        <v>6.0</v>
      </c>
      <c r="B15" s="43" t="s">
        <v>493</v>
      </c>
      <c r="C15" s="46">
        <v>2.0</v>
      </c>
      <c r="D15" s="44" t="s">
        <v>733</v>
      </c>
    </row>
    <row r="16" ht="22.5" customHeight="1">
      <c r="A16" s="46">
        <v>6.0</v>
      </c>
      <c r="B16" s="43" t="s">
        <v>313</v>
      </c>
      <c r="C16" s="46">
        <v>2.0</v>
      </c>
      <c r="D16" s="44" t="s">
        <v>622</v>
      </c>
    </row>
    <row r="17" ht="22.5" customHeight="1">
      <c r="A17" s="46">
        <v>6.0</v>
      </c>
      <c r="B17" s="43" t="s">
        <v>742</v>
      </c>
      <c r="C17" s="46">
        <v>2.0</v>
      </c>
      <c r="D17" s="44" t="s">
        <v>743</v>
      </c>
    </row>
    <row r="18" ht="22.5" customHeight="1">
      <c r="A18" s="46">
        <v>6.0</v>
      </c>
      <c r="B18" s="43" t="s">
        <v>482</v>
      </c>
      <c r="C18" s="46">
        <v>2.0</v>
      </c>
      <c r="D18" s="44" t="s">
        <v>733</v>
      </c>
    </row>
    <row r="19" ht="22.5" customHeight="1">
      <c r="A19" s="46">
        <v>6.0</v>
      </c>
      <c r="B19" s="43" t="s">
        <v>365</v>
      </c>
      <c r="C19" s="46">
        <v>2.0</v>
      </c>
      <c r="D19" s="44" t="s">
        <v>619</v>
      </c>
    </row>
    <row r="20" ht="22.5" customHeight="1">
      <c r="A20" s="46">
        <v>6.0</v>
      </c>
      <c r="B20" s="43" t="s">
        <v>312</v>
      </c>
      <c r="C20" s="46">
        <v>2.0</v>
      </c>
      <c r="D20" s="44" t="s">
        <v>622</v>
      </c>
    </row>
    <row r="21" ht="22.5" customHeight="1">
      <c r="A21" s="46">
        <v>6.0</v>
      </c>
      <c r="B21" s="43" t="s">
        <v>735</v>
      </c>
      <c r="C21" s="46">
        <v>2.0</v>
      </c>
      <c r="D21" s="44" t="s">
        <v>619</v>
      </c>
    </row>
    <row r="22" ht="22.5" customHeight="1">
      <c r="A22" s="46">
        <v>6.0</v>
      </c>
      <c r="B22" s="43" t="s">
        <v>746</v>
      </c>
      <c r="C22" s="46">
        <v>2.0</v>
      </c>
      <c r="D22" s="44" t="s">
        <v>747</v>
      </c>
    </row>
    <row r="23" ht="22.5" customHeight="1">
      <c r="A23" s="46">
        <v>6.0</v>
      </c>
      <c r="B23" s="43" t="s">
        <v>501</v>
      </c>
      <c r="C23" s="46">
        <v>2.0</v>
      </c>
      <c r="D23" s="44" t="s">
        <v>610</v>
      </c>
    </row>
    <row r="24" ht="22.5" customHeight="1">
      <c r="A24" s="46">
        <v>7.0</v>
      </c>
      <c r="B24" s="43" t="s">
        <v>744</v>
      </c>
      <c r="C24" s="46">
        <v>1.0</v>
      </c>
      <c r="D24" s="44" t="s">
        <v>334</v>
      </c>
    </row>
    <row r="25" ht="22.5" customHeight="1">
      <c r="A25" s="46">
        <v>7.0</v>
      </c>
      <c r="B25" s="43" t="s">
        <v>521</v>
      </c>
      <c r="C25" s="46">
        <v>1.0</v>
      </c>
      <c r="D25" s="44" t="s">
        <v>522</v>
      </c>
    </row>
    <row r="26" ht="22.5" customHeight="1">
      <c r="A26" s="46">
        <v>7.0</v>
      </c>
      <c r="B26" s="43" t="s">
        <v>634</v>
      </c>
      <c r="C26" s="46">
        <v>1.0</v>
      </c>
      <c r="D26" s="44" t="s">
        <v>470</v>
      </c>
    </row>
    <row r="27" ht="22.5" customHeight="1">
      <c r="A27" s="46">
        <v>7.0</v>
      </c>
      <c r="B27" s="43" t="s">
        <v>475</v>
      </c>
      <c r="C27" s="46">
        <v>1.0</v>
      </c>
      <c r="D27" s="44" t="s">
        <v>470</v>
      </c>
    </row>
    <row r="28" ht="22.5" customHeight="1">
      <c r="A28" s="46">
        <v>7.0</v>
      </c>
      <c r="B28" s="43" t="s">
        <v>752</v>
      </c>
      <c r="C28" s="46">
        <v>1.0</v>
      </c>
      <c r="D28" s="44" t="s">
        <v>483</v>
      </c>
    </row>
    <row r="29" ht="22.5" customHeight="1">
      <c r="A29" s="46">
        <v>7.0</v>
      </c>
      <c r="B29" s="43" t="s">
        <v>753</v>
      </c>
      <c r="C29" s="46">
        <v>1.0</v>
      </c>
      <c r="D29" s="44" t="s">
        <v>528</v>
      </c>
    </row>
    <row r="30" ht="22.5" customHeight="1">
      <c r="A30" s="46">
        <v>7.0</v>
      </c>
      <c r="B30" s="43" t="s">
        <v>754</v>
      </c>
      <c r="C30" s="46">
        <v>1.0</v>
      </c>
      <c r="D30" s="44" t="s">
        <v>334</v>
      </c>
    </row>
    <row r="31" ht="22.5" customHeight="1">
      <c r="A31" s="46">
        <v>7.0</v>
      </c>
      <c r="B31" s="43" t="s">
        <v>755</v>
      </c>
      <c r="C31" s="46">
        <v>1.0</v>
      </c>
      <c r="D31" s="44" t="s">
        <v>304</v>
      </c>
    </row>
    <row r="32" ht="22.5" customHeight="1">
      <c r="A32" s="46">
        <v>7.0</v>
      </c>
      <c r="B32" s="43" t="s">
        <v>329</v>
      </c>
      <c r="C32" s="46">
        <v>1.0</v>
      </c>
      <c r="D32" s="44" t="s">
        <v>304</v>
      </c>
    </row>
    <row r="33" ht="22.5" customHeight="1">
      <c r="A33" s="46">
        <v>7.0</v>
      </c>
      <c r="B33" s="43" t="s">
        <v>487</v>
      </c>
      <c r="C33" s="46">
        <v>1.0</v>
      </c>
      <c r="D33" s="44" t="s">
        <v>483</v>
      </c>
    </row>
    <row r="34" ht="22.5" customHeight="1">
      <c r="A34" s="46">
        <v>7.0</v>
      </c>
      <c r="B34" s="43" t="s">
        <v>750</v>
      </c>
      <c r="C34" s="46">
        <v>1.0</v>
      </c>
      <c r="D34" s="44" t="s">
        <v>514</v>
      </c>
    </row>
    <row r="35" ht="22.5" customHeight="1">
      <c r="A35" s="46">
        <v>7.0</v>
      </c>
      <c r="B35" s="43" t="s">
        <v>518</v>
      </c>
      <c r="C35" s="46">
        <v>1.0</v>
      </c>
      <c r="D35" s="44" t="s">
        <v>502</v>
      </c>
    </row>
    <row r="36" ht="22.5" customHeight="1">
      <c r="A36" s="46">
        <v>7.0</v>
      </c>
      <c r="B36" s="43" t="s">
        <v>504</v>
      </c>
      <c r="C36" s="46">
        <v>1.0</v>
      </c>
      <c r="D36" s="44" t="s">
        <v>502</v>
      </c>
    </row>
    <row r="37" ht="22.5" customHeight="1">
      <c r="A37" s="46">
        <v>7.0</v>
      </c>
      <c r="B37" s="43" t="s">
        <v>510</v>
      </c>
      <c r="C37" s="46">
        <v>1.0</v>
      </c>
      <c r="D37" s="44" t="s">
        <v>508</v>
      </c>
    </row>
    <row r="38" ht="22.5" customHeight="1">
      <c r="A38" s="46">
        <v>7.0</v>
      </c>
      <c r="B38" s="43" t="s">
        <v>438</v>
      </c>
      <c r="C38" s="46">
        <v>1.0</v>
      </c>
      <c r="D38" s="44" t="s">
        <v>425</v>
      </c>
    </row>
    <row r="39" ht="22.5" customHeight="1">
      <c r="A39" s="46">
        <v>7.0</v>
      </c>
      <c r="B39" s="43" t="s">
        <v>382</v>
      </c>
      <c r="C39" s="46">
        <v>1.0</v>
      </c>
      <c r="D39" s="44" t="s">
        <v>334</v>
      </c>
    </row>
    <row r="40" ht="22.5" customHeight="1">
      <c r="A40" s="46">
        <v>7.0</v>
      </c>
      <c r="B40" s="43" t="s">
        <v>473</v>
      </c>
      <c r="C40" s="46">
        <v>1.0</v>
      </c>
      <c r="D40" s="44" t="s">
        <v>470</v>
      </c>
    </row>
    <row r="41" ht="22.5" customHeight="1">
      <c r="A41" s="46">
        <v>7.0</v>
      </c>
      <c r="B41" s="43" t="s">
        <v>757</v>
      </c>
      <c r="C41" s="46">
        <v>1.0</v>
      </c>
      <c r="D41" s="44" t="s">
        <v>334</v>
      </c>
    </row>
    <row r="42" ht="22.5" customHeight="1">
      <c r="A42" s="46">
        <v>7.0</v>
      </c>
      <c r="B42" s="43" t="s">
        <v>338</v>
      </c>
      <c r="C42" s="46">
        <v>1.0</v>
      </c>
      <c r="D42" s="44" t="s">
        <v>334</v>
      </c>
    </row>
    <row r="43" ht="22.5" customHeight="1">
      <c r="A43" s="46">
        <v>7.0</v>
      </c>
      <c r="B43" s="43" t="s">
        <v>749</v>
      </c>
      <c r="C43" s="46">
        <v>1.0</v>
      </c>
      <c r="D43" s="44" t="s">
        <v>334</v>
      </c>
    </row>
    <row r="44" ht="22.5" customHeight="1">
      <c r="A44" s="46">
        <v>7.0</v>
      </c>
      <c r="B44" s="43" t="s">
        <v>346</v>
      </c>
      <c r="C44" s="46">
        <v>1.0</v>
      </c>
      <c r="D44" s="44" t="s">
        <v>334</v>
      </c>
    </row>
    <row r="45" ht="22.5" customHeight="1">
      <c r="A45" s="46">
        <v>7.0</v>
      </c>
      <c r="B45" s="43" t="s">
        <v>340</v>
      </c>
      <c r="C45" s="46">
        <v>1.0</v>
      </c>
      <c r="D45" s="44" t="s">
        <v>334</v>
      </c>
    </row>
    <row r="46" ht="22.5" customHeight="1">
      <c r="A46" s="46">
        <v>7.0</v>
      </c>
      <c r="B46" s="43" t="s">
        <v>443</v>
      </c>
      <c r="C46" s="46">
        <v>1.0</v>
      </c>
      <c r="D46" s="44" t="s">
        <v>425</v>
      </c>
    </row>
    <row r="47" ht="22.5" customHeight="1">
      <c r="A47" s="46">
        <v>7.0</v>
      </c>
      <c r="B47" s="43" t="s">
        <v>748</v>
      </c>
      <c r="C47" s="46">
        <v>1.0</v>
      </c>
      <c r="D47" s="44" t="s">
        <v>396</v>
      </c>
    </row>
    <row r="48" ht="22.5" customHeight="1">
      <c r="A48" s="46">
        <v>7.0</v>
      </c>
      <c r="B48" s="43" t="s">
        <v>741</v>
      </c>
      <c r="C48" s="46">
        <v>1.0</v>
      </c>
      <c r="D48" s="44" t="s">
        <v>334</v>
      </c>
    </row>
    <row r="49" ht="22.5" customHeight="1">
      <c r="A49" s="46">
        <v>7.0</v>
      </c>
      <c r="B49" s="43" t="s">
        <v>740</v>
      </c>
      <c r="C49" s="46">
        <v>1.0</v>
      </c>
      <c r="D49" s="44" t="s">
        <v>389</v>
      </c>
    </row>
    <row r="50" ht="22.5" customHeight="1">
      <c r="A50" s="46">
        <v>7.0</v>
      </c>
      <c r="B50" s="43" t="s">
        <v>444</v>
      </c>
      <c r="C50" s="46">
        <v>1.0</v>
      </c>
      <c r="D50" s="44" t="s">
        <v>425</v>
      </c>
    </row>
    <row r="51" ht="22.5" customHeight="1">
      <c r="A51" s="46">
        <v>7.0</v>
      </c>
      <c r="B51" s="43" t="s">
        <v>410</v>
      </c>
      <c r="C51" s="46">
        <v>1.0</v>
      </c>
      <c r="D51" s="44" t="s">
        <v>396</v>
      </c>
    </row>
    <row r="52" ht="22.5" customHeight="1">
      <c r="A52" s="46">
        <v>7.0</v>
      </c>
      <c r="B52" s="43" t="s">
        <v>479</v>
      </c>
      <c r="C52" s="46">
        <v>1.0</v>
      </c>
      <c r="D52" s="44" t="s">
        <v>470</v>
      </c>
    </row>
    <row r="53" ht="22.5" customHeight="1">
      <c r="A53" s="46">
        <v>7.0</v>
      </c>
      <c r="B53" s="43" t="s">
        <v>401</v>
      </c>
      <c r="C53" s="46">
        <v>1.0</v>
      </c>
      <c r="D53" s="44" t="s">
        <v>396</v>
      </c>
    </row>
    <row r="54" ht="22.5" customHeight="1">
      <c r="A54" s="46">
        <v>7.0</v>
      </c>
      <c r="B54" s="43" t="s">
        <v>745</v>
      </c>
      <c r="C54" s="46">
        <v>1.0</v>
      </c>
      <c r="D54" s="44" t="s">
        <v>389</v>
      </c>
    </row>
    <row r="55" ht="22.5" customHeight="1">
      <c r="A55" s="46">
        <v>7.0</v>
      </c>
      <c r="B55" s="43" t="s">
        <v>341</v>
      </c>
      <c r="C55" s="46">
        <v>1.0</v>
      </c>
      <c r="D55" s="44" t="s">
        <v>334</v>
      </c>
    </row>
    <row r="56" ht="22.5" customHeight="1">
      <c r="A56" s="46">
        <v>7.0</v>
      </c>
      <c r="B56" s="43" t="s">
        <v>342</v>
      </c>
      <c r="C56" s="46">
        <v>1.0</v>
      </c>
      <c r="D56" s="44" t="s">
        <v>334</v>
      </c>
    </row>
    <row r="57" ht="22.5" customHeight="1">
      <c r="A57" s="46">
        <v>7.0</v>
      </c>
      <c r="B57" s="43" t="s">
        <v>404</v>
      </c>
      <c r="C57" s="46">
        <v>1.0</v>
      </c>
      <c r="D57" s="44" t="s">
        <v>396</v>
      </c>
    </row>
    <row r="58" ht="22.5" customHeight="1">
      <c r="A58" s="46">
        <v>7.0</v>
      </c>
      <c r="B58" s="43" t="s">
        <v>495</v>
      </c>
      <c r="C58" s="46">
        <v>1.0</v>
      </c>
      <c r="D58" s="44" t="s">
        <v>496</v>
      </c>
    </row>
    <row r="59" ht="22.5" customHeight="1">
      <c r="A59" s="46">
        <v>7.0</v>
      </c>
      <c r="B59" s="43" t="s">
        <v>424</v>
      </c>
      <c r="C59" s="46">
        <v>1.0</v>
      </c>
      <c r="D59" s="44" t="s">
        <v>425</v>
      </c>
    </row>
    <row r="60" ht="22.5" customHeight="1">
      <c r="A60" s="46">
        <v>7.0</v>
      </c>
      <c r="B60" s="43" t="s">
        <v>523</v>
      </c>
      <c r="C60" s="46">
        <v>1.0</v>
      </c>
      <c r="D60" s="44" t="s">
        <v>522</v>
      </c>
    </row>
    <row r="61" ht="22.5" customHeight="1">
      <c r="A61" s="46">
        <v>7.0</v>
      </c>
      <c r="B61" s="43" t="s">
        <v>347</v>
      </c>
      <c r="C61" s="46">
        <v>1.0</v>
      </c>
      <c r="D61" s="44" t="s">
        <v>334</v>
      </c>
    </row>
    <row r="62" ht="22.5" customHeight="1">
      <c r="A62" s="46">
        <v>7.0</v>
      </c>
      <c r="B62" s="43" t="s">
        <v>371</v>
      </c>
      <c r="C62" s="46">
        <v>1.0</v>
      </c>
      <c r="D62" s="44" t="s">
        <v>334</v>
      </c>
    </row>
    <row r="63" ht="22.5" customHeight="1">
      <c r="A63" s="46">
        <v>7.0</v>
      </c>
      <c r="B63" s="43" t="s">
        <v>348</v>
      </c>
      <c r="C63" s="46">
        <v>1.0</v>
      </c>
      <c r="D63" s="44" t="s">
        <v>334</v>
      </c>
    </row>
    <row r="64" ht="22.5" customHeight="1">
      <c r="A64" s="46">
        <v>7.0</v>
      </c>
      <c r="B64" s="43" t="s">
        <v>426</v>
      </c>
      <c r="C64" s="46">
        <v>1.0</v>
      </c>
      <c r="D64" s="44" t="s">
        <v>425</v>
      </c>
    </row>
    <row r="65" ht="22.5" customHeight="1">
      <c r="A65" s="46">
        <v>7.0</v>
      </c>
      <c r="B65" s="43" t="s">
        <v>429</v>
      </c>
      <c r="C65" s="46">
        <v>1.0</v>
      </c>
      <c r="D65" s="44" t="s">
        <v>425</v>
      </c>
    </row>
    <row r="66" ht="22.5" customHeight="1">
      <c r="A66" s="46">
        <v>7.0</v>
      </c>
      <c r="B66" s="43" t="s">
        <v>732</v>
      </c>
      <c r="C66" s="46">
        <v>1.0</v>
      </c>
      <c r="D66" s="44" t="s">
        <v>470</v>
      </c>
    </row>
    <row r="67" ht="22.5" customHeight="1">
      <c r="A67" s="46">
        <v>7.0</v>
      </c>
      <c r="B67" s="43" t="s">
        <v>458</v>
      </c>
      <c r="C67" s="46">
        <v>1.0</v>
      </c>
      <c r="D67" s="44" t="s">
        <v>425</v>
      </c>
    </row>
    <row r="68" ht="22.5" customHeight="1">
      <c r="A68" s="46">
        <v>7.0</v>
      </c>
      <c r="B68" s="43" t="s">
        <v>378</v>
      </c>
      <c r="C68" s="46">
        <v>1.0</v>
      </c>
      <c r="D68" s="44" t="s">
        <v>334</v>
      </c>
    </row>
    <row r="69" ht="22.5" customHeight="1">
      <c r="A69" s="46">
        <v>7.0</v>
      </c>
      <c r="B69" s="43" t="s">
        <v>373</v>
      </c>
      <c r="C69" s="46">
        <v>1.0</v>
      </c>
      <c r="D69" s="44" t="s">
        <v>334</v>
      </c>
    </row>
    <row r="70" ht="22.5" customHeight="1">
      <c r="A70" s="46">
        <v>7.0</v>
      </c>
      <c r="B70" s="43" t="s">
        <v>454</v>
      </c>
      <c r="C70" s="46">
        <v>1.0</v>
      </c>
      <c r="D70" s="44" t="s">
        <v>425</v>
      </c>
    </row>
    <row r="71" ht="22.5" customHeight="1">
      <c r="A71" s="46">
        <v>7.0</v>
      </c>
      <c r="B71" s="43" t="s">
        <v>427</v>
      </c>
      <c r="C71" s="46">
        <v>1.0</v>
      </c>
      <c r="D71" s="44" t="s">
        <v>425</v>
      </c>
    </row>
    <row r="72" ht="22.5" customHeight="1">
      <c r="A72" s="46">
        <v>7.0</v>
      </c>
      <c r="B72" s="43" t="s">
        <v>354</v>
      </c>
      <c r="C72" s="46">
        <v>1.0</v>
      </c>
      <c r="D72" s="44" t="s">
        <v>334</v>
      </c>
    </row>
    <row r="73" ht="22.5" customHeight="1">
      <c r="A73" s="46">
        <v>7.0</v>
      </c>
      <c r="B73" s="43" t="s">
        <v>431</v>
      </c>
      <c r="C73" s="46">
        <v>1.0</v>
      </c>
      <c r="D73" s="44" t="s">
        <v>425</v>
      </c>
    </row>
    <row r="74" ht="22.5" customHeight="1">
      <c r="A74" s="46">
        <v>7.0</v>
      </c>
      <c r="B74" s="43" t="s">
        <v>376</v>
      </c>
      <c r="C74" s="46">
        <v>1.0</v>
      </c>
      <c r="D74" s="44" t="s">
        <v>334</v>
      </c>
    </row>
    <row r="75" ht="22.5" customHeight="1">
      <c r="A75" s="46">
        <v>7.0</v>
      </c>
      <c r="B75" s="43" t="s">
        <v>379</v>
      </c>
      <c r="C75" s="46">
        <v>1.0</v>
      </c>
      <c r="D75" s="44" t="s">
        <v>334</v>
      </c>
    </row>
    <row r="76" ht="22.5" customHeight="1">
      <c r="A76" s="46">
        <v>7.0</v>
      </c>
      <c r="B76" s="43" t="s">
        <v>472</v>
      </c>
      <c r="C76" s="46">
        <v>1.0</v>
      </c>
      <c r="D76" s="44" t="s">
        <v>470</v>
      </c>
    </row>
    <row r="77" ht="22.5" customHeight="1">
      <c r="A77" s="46">
        <v>7.0</v>
      </c>
      <c r="B77" s="43" t="s">
        <v>535</v>
      </c>
      <c r="C77" s="46">
        <v>1.0</v>
      </c>
      <c r="D77" s="44" t="s">
        <v>528</v>
      </c>
    </row>
    <row r="78" ht="22.5" customHeight="1">
      <c r="A78" s="46">
        <v>7.0</v>
      </c>
      <c r="B78" s="43" t="s">
        <v>477</v>
      </c>
      <c r="C78" s="46">
        <v>1.0</v>
      </c>
      <c r="D78" s="44" t="s">
        <v>470</v>
      </c>
    </row>
    <row r="79" ht="22.5" customHeight="1">
      <c r="A79" s="46">
        <v>7.0</v>
      </c>
      <c r="B79" s="43" t="s">
        <v>402</v>
      </c>
      <c r="C79" s="46">
        <v>1.0</v>
      </c>
      <c r="D79" s="44" t="s">
        <v>396</v>
      </c>
    </row>
    <row r="80" ht="22.5" customHeight="1">
      <c r="A80" s="46">
        <v>7.0</v>
      </c>
      <c r="B80" s="43" t="s">
        <v>374</v>
      </c>
      <c r="C80" s="46">
        <v>1.0</v>
      </c>
      <c r="D80" s="44" t="s">
        <v>334</v>
      </c>
    </row>
    <row r="81" ht="22.5" customHeight="1">
      <c r="A81" s="46">
        <v>7.0</v>
      </c>
      <c r="B81" s="43" t="s">
        <v>372</v>
      </c>
      <c r="C81" s="46">
        <v>1.0</v>
      </c>
      <c r="D81" s="44" t="s">
        <v>334</v>
      </c>
    </row>
    <row r="82" ht="22.5" customHeight="1">
      <c r="A82" s="46">
        <v>7.0</v>
      </c>
      <c r="B82" s="43" t="s">
        <v>536</v>
      </c>
      <c r="C82" s="46">
        <v>1.0</v>
      </c>
      <c r="D82" s="44" t="s">
        <v>528</v>
      </c>
    </row>
    <row r="83" ht="22.5" customHeight="1">
      <c r="A83" s="46">
        <v>7.0</v>
      </c>
      <c r="B83" s="43" t="s">
        <v>400</v>
      </c>
      <c r="C83" s="46">
        <v>1.0</v>
      </c>
      <c r="D83" s="44" t="s">
        <v>396</v>
      </c>
    </row>
    <row r="84" ht="22.5" customHeight="1">
      <c r="A84" s="46">
        <v>7.0</v>
      </c>
      <c r="B84" s="43" t="s">
        <v>395</v>
      </c>
      <c r="C84" s="46">
        <v>1.0</v>
      </c>
      <c r="D84" s="44" t="s">
        <v>396</v>
      </c>
    </row>
    <row r="85" ht="22.5" customHeight="1">
      <c r="A85" s="46">
        <v>7.0</v>
      </c>
      <c r="B85" s="43" t="s">
        <v>392</v>
      </c>
      <c r="C85" s="46">
        <v>1.0</v>
      </c>
      <c r="D85" s="44" t="s">
        <v>389</v>
      </c>
    </row>
    <row r="86" ht="22.5" customHeight="1">
      <c r="A86" s="46">
        <v>7.0</v>
      </c>
      <c r="B86" s="43" t="s">
        <v>398</v>
      </c>
      <c r="C86" s="46">
        <v>1.0</v>
      </c>
      <c r="D86" s="44" t="s">
        <v>396</v>
      </c>
    </row>
    <row r="87" ht="22.5" customHeight="1">
      <c r="A87" s="46">
        <v>7.0</v>
      </c>
      <c r="B87" s="43" t="s">
        <v>512</v>
      </c>
      <c r="C87" s="46">
        <v>1.0</v>
      </c>
      <c r="D87" s="44" t="s">
        <v>508</v>
      </c>
    </row>
    <row r="88" ht="22.5" customHeight="1">
      <c r="A88" s="46">
        <v>7.0</v>
      </c>
      <c r="B88" s="43" t="s">
        <v>399</v>
      </c>
      <c r="C88" s="46">
        <v>1.0</v>
      </c>
      <c r="D88" s="44" t="s">
        <v>396</v>
      </c>
    </row>
    <row r="89" ht="22.5" customHeight="1">
      <c r="A89" s="46">
        <v>7.0</v>
      </c>
      <c r="B89" s="43" t="s">
        <v>497</v>
      </c>
      <c r="C89" s="46">
        <v>1.0</v>
      </c>
      <c r="D89" s="44" t="s">
        <v>498</v>
      </c>
    </row>
    <row r="90" ht="22.5" customHeight="1">
      <c r="A90" s="46">
        <v>7.0</v>
      </c>
      <c r="B90" s="43" t="s">
        <v>529</v>
      </c>
      <c r="C90" s="46">
        <v>1.0</v>
      </c>
      <c r="D90" s="44" t="s">
        <v>528</v>
      </c>
    </row>
    <row r="91" ht="22.5" customHeight="1">
      <c r="A91" s="46">
        <v>7.0</v>
      </c>
      <c r="B91" s="43" t="s">
        <v>456</v>
      </c>
      <c r="C91" s="46">
        <v>1.0</v>
      </c>
      <c r="D91" s="44" t="s">
        <v>425</v>
      </c>
    </row>
    <row r="92" ht="22.5" customHeight="1">
      <c r="A92" s="46">
        <v>7.0</v>
      </c>
      <c r="B92" s="43" t="s">
        <v>537</v>
      </c>
      <c r="C92" s="46">
        <v>1.0</v>
      </c>
      <c r="D92" s="44" t="s">
        <v>528</v>
      </c>
    </row>
    <row r="93" ht="22.5" customHeight="1">
      <c r="A93" s="46">
        <v>7.0</v>
      </c>
      <c r="B93" s="43" t="s">
        <v>451</v>
      </c>
      <c r="C93" s="46">
        <v>1.0</v>
      </c>
      <c r="D93" s="44" t="s">
        <v>425</v>
      </c>
    </row>
    <row r="94" ht="22.5" customHeight="1">
      <c r="A94" s="46">
        <v>7.0</v>
      </c>
      <c r="B94" s="43" t="s">
        <v>449</v>
      </c>
      <c r="C94" s="46">
        <v>1.0</v>
      </c>
      <c r="D94" s="44" t="s">
        <v>425</v>
      </c>
    </row>
    <row r="95" ht="22.5" customHeight="1">
      <c r="A95" s="46">
        <v>7.0</v>
      </c>
      <c r="B95" s="43" t="s">
        <v>448</v>
      </c>
      <c r="C95" s="46">
        <v>1.0</v>
      </c>
      <c r="D95" s="44" t="s">
        <v>425</v>
      </c>
    </row>
    <row r="96" ht="22.5" customHeight="1">
      <c r="A96" s="46">
        <v>7.0</v>
      </c>
      <c r="B96" s="43" t="s">
        <v>447</v>
      </c>
      <c r="C96" s="46">
        <v>1.0</v>
      </c>
      <c r="D96" s="44" t="s">
        <v>425</v>
      </c>
    </row>
    <row r="97" ht="22.5" customHeight="1">
      <c r="A97" s="46">
        <v>7.0</v>
      </c>
      <c r="B97" s="43" t="s">
        <v>446</v>
      </c>
      <c r="C97" s="46">
        <v>1.0</v>
      </c>
      <c r="D97" s="44" t="s">
        <v>425</v>
      </c>
    </row>
    <row r="98" ht="22.5" customHeight="1">
      <c r="A98" s="46">
        <v>7.0</v>
      </c>
      <c r="B98" s="43" t="s">
        <v>445</v>
      </c>
      <c r="C98" s="46">
        <v>1.0</v>
      </c>
      <c r="D98" s="44" t="s">
        <v>425</v>
      </c>
    </row>
    <row r="99" ht="22.5" customHeight="1">
      <c r="A99" s="46">
        <v>7.0</v>
      </c>
      <c r="B99" s="43" t="s">
        <v>450</v>
      </c>
      <c r="C99" s="46">
        <v>1.0</v>
      </c>
      <c r="D99" s="44" t="s">
        <v>425</v>
      </c>
    </row>
    <row r="100" ht="22.5" customHeight="1">
      <c r="A100" s="46">
        <v>7.0</v>
      </c>
      <c r="B100" s="43" t="s">
        <v>509</v>
      </c>
      <c r="C100" s="46">
        <v>1.0</v>
      </c>
      <c r="D100" s="44" t="s">
        <v>508</v>
      </c>
    </row>
    <row r="101" ht="22.5" customHeight="1">
      <c r="A101" s="46">
        <v>7.0</v>
      </c>
      <c r="B101" s="43" t="s">
        <v>370</v>
      </c>
      <c r="C101" s="46">
        <v>1.0</v>
      </c>
      <c r="D101" s="44" t="s">
        <v>334</v>
      </c>
    </row>
    <row r="102" ht="22.5" customHeight="1">
      <c r="A102" s="46">
        <v>7.0</v>
      </c>
      <c r="B102" s="43" t="s">
        <v>488</v>
      </c>
      <c r="C102" s="46">
        <v>1.0</v>
      </c>
      <c r="D102" s="44" t="s">
        <v>483</v>
      </c>
    </row>
    <row r="103" ht="22.5" customHeight="1">
      <c r="A103" s="46">
        <v>7.0</v>
      </c>
      <c r="B103" s="43" t="s">
        <v>455</v>
      </c>
      <c r="C103" s="46">
        <v>1.0</v>
      </c>
      <c r="D103" s="44" t="s">
        <v>425</v>
      </c>
    </row>
    <row r="104" ht="22.5" customHeight="1">
      <c r="A104" s="46">
        <v>7.0</v>
      </c>
      <c r="B104" s="43" t="s">
        <v>352</v>
      </c>
      <c r="C104" s="46">
        <v>1.0</v>
      </c>
      <c r="D104" s="44" t="s">
        <v>334</v>
      </c>
    </row>
    <row r="105" ht="22.5" customHeight="1">
      <c r="A105" s="46">
        <v>7.0</v>
      </c>
      <c r="B105" s="43" t="s">
        <v>419</v>
      </c>
      <c r="C105" s="46">
        <v>1.0</v>
      </c>
      <c r="D105" s="44" t="s">
        <v>396</v>
      </c>
    </row>
    <row r="106" ht="22.5" customHeight="1">
      <c r="A106" s="46">
        <v>7.0</v>
      </c>
      <c r="B106" s="43" t="s">
        <v>499</v>
      </c>
      <c r="C106" s="46">
        <v>1.0</v>
      </c>
      <c r="D106" s="44" t="s">
        <v>498</v>
      </c>
    </row>
    <row r="107" ht="22.5" customHeight="1">
      <c r="A107" s="46">
        <v>7.0</v>
      </c>
      <c r="B107" s="43" t="s">
        <v>361</v>
      </c>
      <c r="C107" s="46">
        <v>1.0</v>
      </c>
      <c r="D107" s="44" t="s">
        <v>334</v>
      </c>
    </row>
    <row r="108" ht="22.5" customHeight="1">
      <c r="A108" s="46">
        <v>7.0</v>
      </c>
      <c r="B108" s="43" t="s">
        <v>516</v>
      </c>
      <c r="C108" s="46">
        <v>1.0</v>
      </c>
      <c r="D108" s="44" t="s">
        <v>514</v>
      </c>
    </row>
    <row r="109" ht="22.5" customHeight="1">
      <c r="A109" s="46">
        <v>7.0</v>
      </c>
      <c r="B109" s="43" t="s">
        <v>439</v>
      </c>
      <c r="C109" s="46">
        <v>1.0</v>
      </c>
      <c r="D109" s="44" t="s">
        <v>425</v>
      </c>
    </row>
    <row r="110" ht="22.5" customHeight="1">
      <c r="A110" s="46">
        <v>7.0</v>
      </c>
      <c r="B110" s="43" t="s">
        <v>409</v>
      </c>
      <c r="C110" s="46">
        <v>1.0</v>
      </c>
      <c r="D110" s="44" t="s">
        <v>396</v>
      </c>
    </row>
    <row r="111" ht="22.5" customHeight="1">
      <c r="A111" s="46">
        <v>7.0</v>
      </c>
      <c r="B111" s="43" t="s">
        <v>411</v>
      </c>
      <c r="C111" s="46">
        <v>1.0</v>
      </c>
      <c r="D111" s="44" t="s">
        <v>396</v>
      </c>
    </row>
    <row r="112" ht="22.5" customHeight="1">
      <c r="A112" s="46">
        <v>7.0</v>
      </c>
      <c r="B112" s="43" t="s">
        <v>457</v>
      </c>
      <c r="C112" s="46">
        <v>1.0</v>
      </c>
      <c r="D112" s="44" t="s">
        <v>425</v>
      </c>
    </row>
    <row r="113" ht="22.5" customHeight="1">
      <c r="A113" s="46">
        <v>7.0</v>
      </c>
      <c r="B113" s="43" t="s">
        <v>391</v>
      </c>
      <c r="C113" s="46">
        <v>1.0</v>
      </c>
      <c r="D113" s="44" t="s">
        <v>389</v>
      </c>
    </row>
  </sheetData>
  <dataValidations>
    <dataValidation type="list" allowBlank="1" sqref="C2:C113">
      <formula1>"7,6,5,4,4,4,4,3,2,2,2,2,2,2,2,2,2,2,2,2,2,2,1,1,1,1,1,1,1,1,1,1,1,1,1,1,1,1,1,1,1,1,1,1,1,1,1,1,1,1,1,1,1,1,1,1,1,1,1,1,1,1,1,1,1,1,1,1,1,1,1,1,1,1,1,1,1,1,1,1,1,1,1,1,1,1,1,1,1,1,1,1,1,1,1,1,1,1,1,1,1,1,1,1,1,1,1,1,1,1,1,1"</formula1>
    </dataValidation>
    <dataValidation type="list" allowBlank="1" sqref="D2:D113">
      <formula1>"(Khanfar et al.,2025), (Yang, Blount &amp; Amrollahi, 2024), Phuoc (2022), Suddin Lada et al. (2023) (focus on SMEs), Alsheibani, S., Cheung, Y., &amp; Messom, C. (2018), Ingalagi et al. (2021), Ayinaddis (2025),(Khanfar et al.,2024), (Khanfar et al.,2025), (Path"&amp;"ak &amp; Bansal, 2024a) (figure 2), Kelly, Kaye &amp; Oviedo-Trespalacios (2023), Yuen et al (2020), Solaimani &amp; Swaak (2022),(Khanfar et al.,2024), (Khanfar et al.,2025), Phuoc (2022), Suddin Lada et al. (2023), Ingalagi et al. (2021),(Khanfar et al.,2024), (Kha"&amp;"nfar et al.,2025), (Heimberger et al, 2024), Alsheibani, S., Cheung, Y., &amp; Messom, C. (2018),(Khanfar et al.,2025), Alsheibani, S., Cheung, Y., &amp; Messom, C. (2018), Yuen et al (2020), Solaimani &amp; Swaak (2022),(Khanfar et al.,2025), Alsheibani, S., Cheung,"&amp;" Y., &amp; Messom, C. (2018), Yuen et al (2020), Solaimani &amp; Swaak (2022),(Khanfar et al.,2024), Ayinaddis (2025), (Heimberger et al, 2024), Phuoc (2022),(Khanfar et al.,2024), (Khanfar et al.,2025), (Heimberger et al, 2024),(Pathak &amp; Bansal, 2024a) (figure 2"&amp;"), Kelly, Kaye &amp; Oviedo-Trespalacios (2023),(Khanfar et al.,2024), (Khanfar et al.,2025),(Khanfar et al.,2024), (Khanfar et al.,2025),(Khanfar et al.,2024), (Khanfar et al.,2025),Suddin Lada et al. (2023), Ingalagi et al. (2021),Suddin Lada et al. (2023),"&amp;" Ingalagi et al. (2021),(Khanfar et al.,2024), (Khanfar et al.,2025),Alsheibani, S., Cheung, Y., &amp; Messom, C. (2018), Yuen et al (2020),Suddin Lada et al. (2023), Ingalagi et al. (2021),(Khanfar et al.,2025), Phuoc (2022),(Khanfar et al.,2024), (Khanfar e"&amp;"t al.,2025),(Khanfar et al.,2025), Phuoc (2022),(Khanfar et al.,2025), (Heimberger et al, 2024),Md. Mehedi Hasan Emon &amp; Tahsina Khan (2025), Yuen et al (2020),(Khanfar et al.,2025),Solaimani &amp; Swaak (2022),Kelly, Kaye &amp; Oviedo-Trespalacios (2023),Kelly, K"&amp;"aye &amp; Oviedo-Trespalacios (2023),Phuoc (2022),Ayinaddis (2025),(Khanfar et al.,2025),(Khanfar et al.,2024),(Khanfar et al.,2024),Phuoc (2022),Yuen et al (2020),Alsheibani, S., Cheung, Y., &amp; Messom, C. (2018),Alsheibani, S., Cheung, Y., &amp; Messom, C. (2018)"&amp;",Chen &amp; Tajdini (2024),(Heimberger et al, 2024),(Khanfar et al.,2025),Kelly, Kaye &amp; Oviedo-Trespalacios (2023),(Khanfar et al.,2025),(Khanfar et al.,2025),(Khanfar et al.,2025),(Khanfar et al.,2025),(Khanfar et al.,2025),(Heimberger et al, 2024),(Pathak &amp;"&amp;" Bansal, 2024a) (figure 2),(Khanfar et al.,2025),(Yang, Blount &amp; Amrollahi, 2024),(Heimberger et al, 2024),(Pathak &amp; Bansal, 2024a) (figure 2),Kelly, Kaye &amp; Oviedo-Trespalacios (2023),(Pathak &amp; Bansal, 2024a) (figure 2),(Yang, Blount &amp; Amrollahi, 2024),(K"&amp;"hanfar et al.,2025),(Khanfar et al.,2025),(Pathak &amp; Bansal, 2024a) (figure 2),Md. Mehedi Hasan Emon &amp; Tahsina Khan (2025) (Bangladesh focus),(Heimberger et al, 2024),Solaimani &amp; Swaak (2022),(Khanfar et al.,2025),(Khanfar et al.,2025),(Khanfar et al.,2025"&amp;"),(Heimberger et al, 2024),(Heimberger et al, 2024),Kelly, Kaye &amp; Oviedo-Trespalacios (2023),(Heimberger et al, 2024),(Khanfar et al.,2025),(Khanfar et al.,2025),(Heimberger et al, 2024),(Heimberger et al, 2024),(Khanfar et al.,2025),(Heimberger et al, 20"&amp;"24),(Khanfar et al.,2025),(Khanfar et al.,2025),Kelly, Kaye &amp; Oviedo-Trespalacios (2023),Ayinaddis (2025),Kelly, Kaye &amp; Oviedo-Trespalacios (2023),(Pathak &amp; Bansal, 2024a) (figure 2),(Khanfar et al.,2025),(Khanfar et al.,2025),Ayinaddis (2025),(Pathak &amp; B"&amp;"ansal, 2024a) (figure 2),(Pathak &amp; Bansal, 2024a) (figure 2),(Yang, Blount &amp; Amrollahi, 2024),(Pathak &amp; Bansal, 2024a) (figure 2),Chen &amp; Tajdini (2024),(Pathak &amp; Bansal, 2024a) (figure 2),Md. Mehedi Hasan Emon &amp; Tahsina Khan (2025),Ayinaddis (2025),(Heimb"&amp;"erger et al, 2024),Ayinaddis (2025),(Heimberger et al, 2024),(Heimberger et al, 2024),(Heimberger et al, 2024),(Heimberger et al, 2024),(Heimberger et al, 2024),(Heimberger et al, 2024),(Heimberger et al, 2024),Chen &amp; Tajdini (2024),(Khanfar et al.,2025),"&amp;"Phuoc (2022),(Heimberger et al, 2024),(Khanfar et al.,2025),(Pathak &amp; Bansal, 2024a) (figure 2),Md. Mehedi Hasan Emon &amp; Tahsina Khan (2025),(Khanfar et al.,2025),Yuen et al (2020),(Heimberger et al, 2024),(Pathak &amp; Bansal, 2024a) (figure 2),(Pathak &amp; Bans"&amp;"al, 2024a) (figure 2),(Heimberger et al, 2024),(Yang, Blount &amp; Amrollahi, 2024)"</formula1>
    </dataValidation>
    <dataValidation type="list" allowBlank="1" sqref="A2:A113">
      <formula1>"1,2,3,4,4,4,4,5,6,6,6,6,6,6,6,6,6,6,6,6,6,6,7,7,7,7,7,7,7,7,7,7,7,7,7,7,7,7,7,7,7,7,7,7,7,7,7,7,7,7,7,7,7,7,7,7,7,7,7,7,7,7,7,7,7,7,7,7,7,7,7,7,7,7,7,7,7,7,7,7,7,7,7,7,7,7,7,7,7,7,7,7,7,7,7,7,7,7,7,7,7,7,7,7,7,7,7,7,7,7,7,7"</formula1>
    </dataValidation>
  </dataValidations>
  <drawing r:id="rId1"/>
  <tableParts count="1">
    <tablePart r:id="rId3"/>
  </tableParts>
</worksheet>
</file>